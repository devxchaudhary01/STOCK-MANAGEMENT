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2B8EBA-369A-4BE1-94CA-CAEE5F79EF2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  <sheet name="PENDING ORDER" sheetId="5" r:id="rId4"/>
    <sheet name="Sheet5" sheetId="6" r:id="rId5"/>
    <sheet name="Sheet4" sheetId="4" r:id="rId6"/>
    <sheet name="Sheet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12" i="3"/>
  <c r="E13" i="3"/>
  <c r="J13" i="3" s="1"/>
  <c r="E14" i="3"/>
  <c r="J14" i="3" s="1"/>
  <c r="E15" i="3"/>
  <c r="E16" i="3"/>
  <c r="E17" i="3"/>
  <c r="E18" i="3"/>
  <c r="E19" i="3"/>
  <c r="E20" i="3"/>
  <c r="E21" i="3"/>
  <c r="E22" i="3"/>
  <c r="J22" i="3" s="1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J53" i="3" s="1"/>
  <c r="E54" i="3"/>
  <c r="E55" i="3"/>
  <c r="E56" i="3"/>
  <c r="J56" i="3" s="1"/>
  <c r="E57" i="3"/>
  <c r="E58" i="3"/>
  <c r="E59" i="3"/>
  <c r="E60" i="3"/>
  <c r="E61" i="3"/>
  <c r="E62" i="3"/>
  <c r="E63" i="3"/>
  <c r="E64" i="3"/>
  <c r="E65" i="3"/>
  <c r="E66" i="3"/>
  <c r="E67" i="3"/>
  <c r="J67" i="3" s="1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J91" i="3" s="1"/>
  <c r="E92" i="3"/>
  <c r="J92" i="3" s="1"/>
  <c r="E93" i="3"/>
  <c r="E94" i="3"/>
  <c r="E95" i="3"/>
  <c r="E96" i="3"/>
  <c r="J96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3" i="3"/>
  <c r="J3" i="3" s="1"/>
  <c r="J4" i="3"/>
  <c r="J20" i="3"/>
  <c r="J21" i="3"/>
  <c r="K165" i="6"/>
  <c r="K162" i="6"/>
  <c r="K160" i="6"/>
  <c r="K158" i="6"/>
  <c r="K156" i="6"/>
  <c r="K154" i="6"/>
  <c r="K152" i="6"/>
  <c r="K150" i="6"/>
  <c r="K148" i="6"/>
  <c r="K145" i="6"/>
  <c r="K142" i="6"/>
  <c r="K140" i="6"/>
  <c r="K138" i="6"/>
  <c r="K135" i="6"/>
  <c r="K133" i="6"/>
  <c r="K127" i="6"/>
  <c r="K121" i="6"/>
  <c r="K117" i="6"/>
  <c r="K114" i="6"/>
  <c r="K112" i="6"/>
  <c r="K107" i="6"/>
  <c r="K100" i="6"/>
  <c r="K96" i="6"/>
  <c r="K93" i="6"/>
  <c r="K90" i="6"/>
  <c r="K83" i="6"/>
  <c r="K79" i="6"/>
  <c r="K77" i="6"/>
  <c r="K75" i="6"/>
  <c r="K70" i="6"/>
  <c r="K20" i="6"/>
  <c r="K8" i="6"/>
  <c r="K6" i="6"/>
  <c r="K165" i="5"/>
  <c r="K162" i="5"/>
  <c r="K160" i="5"/>
  <c r="K158" i="5"/>
  <c r="K156" i="5"/>
  <c r="K154" i="5"/>
  <c r="K152" i="5"/>
  <c r="K150" i="5"/>
  <c r="K148" i="5"/>
  <c r="K145" i="5"/>
  <c r="K142" i="5"/>
  <c r="K140" i="5"/>
  <c r="K138" i="5"/>
  <c r="K135" i="5"/>
  <c r="K133" i="5"/>
  <c r="K127" i="5"/>
  <c r="K121" i="5"/>
  <c r="K117" i="5"/>
  <c r="K114" i="5"/>
  <c r="K112" i="5"/>
  <c r="K107" i="5"/>
  <c r="K100" i="5"/>
  <c r="K96" i="5"/>
  <c r="K93" i="5"/>
  <c r="K90" i="5"/>
  <c r="K83" i="5"/>
  <c r="K79" i="5"/>
  <c r="K77" i="5"/>
  <c r="K75" i="5"/>
  <c r="K70" i="5"/>
  <c r="K6" i="5" l="1"/>
  <c r="K8" i="5"/>
  <c r="K20" i="5"/>
  <c r="E89" i="4" l="1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E91" i="4"/>
  <c r="E90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5" i="3"/>
  <c r="J6" i="3"/>
  <c r="J7" i="3"/>
  <c r="J11" i="3"/>
  <c r="J15" i="3"/>
  <c r="J16" i="3"/>
  <c r="J30" i="3"/>
  <c r="J37" i="3"/>
  <c r="J38" i="3"/>
  <c r="J41" i="3"/>
  <c r="J42" i="3"/>
  <c r="J46" i="3"/>
  <c r="J47" i="3"/>
  <c r="J48" i="3"/>
  <c r="J49" i="3"/>
  <c r="J51" i="3"/>
  <c r="J52" i="3"/>
  <c r="J54" i="3"/>
  <c r="J62" i="3"/>
  <c r="J66" i="3"/>
  <c r="J68" i="3"/>
  <c r="J70" i="3"/>
  <c r="J71" i="3"/>
  <c r="J72" i="3"/>
  <c r="J74" i="3"/>
  <c r="J76" i="3"/>
  <c r="J79" i="3"/>
  <c r="J80" i="3"/>
  <c r="J82" i="3"/>
  <c r="J83" i="3"/>
  <c r="J85" i="3"/>
  <c r="J86" i="3"/>
  <c r="J87" i="3"/>
  <c r="J88" i="3"/>
  <c r="J89" i="3"/>
  <c r="J90" i="3"/>
  <c r="J97" i="3"/>
  <c r="J100" i="3"/>
  <c r="J104" i="3"/>
  <c r="J108" i="3"/>
  <c r="J110" i="3"/>
  <c r="J112" i="3"/>
  <c r="J114" i="3"/>
  <c r="J115" i="3"/>
  <c r="J116" i="3"/>
  <c r="J118" i="3"/>
  <c r="J120" i="3"/>
  <c r="J121" i="3"/>
  <c r="J122" i="3"/>
  <c r="J123" i="3"/>
  <c r="J124" i="3"/>
  <c r="J125" i="3"/>
  <c r="J126" i="3"/>
  <c r="J127" i="3"/>
  <c r="J132" i="3"/>
  <c r="J147" i="3"/>
  <c r="J148" i="3"/>
  <c r="J154" i="3"/>
  <c r="I153" i="2"/>
  <c r="I154" i="2"/>
  <c r="I155" i="2"/>
  <c r="I156" i="2"/>
  <c r="I157" i="2"/>
  <c r="I158" i="2"/>
  <c r="I159" i="2"/>
  <c r="I160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04" i="2"/>
  <c r="I105" i="2"/>
  <c r="I106" i="2"/>
  <c r="I108" i="2"/>
  <c r="I109" i="2"/>
  <c r="I110" i="2"/>
  <c r="I111" i="2"/>
  <c r="I112" i="2"/>
  <c r="I113" i="2"/>
  <c r="I114" i="2"/>
  <c r="I115" i="2"/>
  <c r="I116" i="2"/>
  <c r="I117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4" i="2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4" i="2"/>
  <c r="G4" i="2" s="1"/>
</calcChain>
</file>

<file path=xl/sharedStrings.xml><?xml version="1.0" encoding="utf-8"?>
<sst xmlns="http://schemas.openxmlformats.org/spreadsheetml/2006/main" count="1379" uniqueCount="532">
  <si>
    <t>TOOL HOLDER</t>
  </si>
  <si>
    <t>BORING BAR</t>
  </si>
  <si>
    <t>S.NO.</t>
  </si>
  <si>
    <t>ITEM NAME</t>
  </si>
  <si>
    <t>CRITERIA</t>
  </si>
  <si>
    <t>BTJNL 2525 M16</t>
  </si>
  <si>
    <t>S06H SCLCL 06</t>
  </si>
  <si>
    <t>BTJNR 2525 M16</t>
  </si>
  <si>
    <t>S06H SCLCR 06</t>
  </si>
  <si>
    <t>BTJNL 2020 K16</t>
  </si>
  <si>
    <t>S08H SCLCL 06</t>
  </si>
  <si>
    <t>BTJNR 2020 K16</t>
  </si>
  <si>
    <t>S08H SCLCR 06</t>
  </si>
  <si>
    <t>BTENN 2525 M16</t>
  </si>
  <si>
    <t>S08H SCKCL 06</t>
  </si>
  <si>
    <t>BTENN 2020 K16</t>
  </si>
  <si>
    <t>S08H SCKCR 06</t>
  </si>
  <si>
    <t>BTQNL 2525 M16</t>
  </si>
  <si>
    <t>S10K SCLCL 06</t>
  </si>
  <si>
    <t>BTQNL 2020 K16</t>
  </si>
  <si>
    <t>S10K SCLCR 06</t>
  </si>
  <si>
    <t>BTQNR 2525 M16</t>
  </si>
  <si>
    <t>S10K SCKCL 06</t>
  </si>
  <si>
    <t>BTQNR 2020 K16</t>
  </si>
  <si>
    <t>S10K SCKCR 06</t>
  </si>
  <si>
    <t>BWLNL 2525 M08</t>
  </si>
  <si>
    <t>S12M SCLCL 06</t>
  </si>
  <si>
    <t>BWLNR 2525 M08</t>
  </si>
  <si>
    <t>S12M SCLCR 06</t>
  </si>
  <si>
    <t>BWLNL 2020 K08</t>
  </si>
  <si>
    <t>S12M SCKCL 06</t>
  </si>
  <si>
    <t>BWLNR 2020 K08</t>
  </si>
  <si>
    <t>S12M SCKCR 06</t>
  </si>
  <si>
    <t>BWLNL 2525 M06</t>
  </si>
  <si>
    <t>S12M SCLCL 09</t>
  </si>
  <si>
    <t>BWLNR 2525 M06</t>
  </si>
  <si>
    <t>S12M SCLCR 09</t>
  </si>
  <si>
    <t>BWLNL 2020 K06</t>
  </si>
  <si>
    <t>S12M SCKCL 09</t>
  </si>
  <si>
    <t>BWLNR 2020 K06</t>
  </si>
  <si>
    <t>S12M SCKCR 09</t>
  </si>
  <si>
    <t>BCLNL 2525 M12</t>
  </si>
  <si>
    <t>S16Q SCLCL 09</t>
  </si>
  <si>
    <t>BCLNR 2525 M12</t>
  </si>
  <si>
    <t>S16Q SCLCR 09</t>
  </si>
  <si>
    <t>BCLNL 2020 K12</t>
  </si>
  <si>
    <t>S16Q SCKCL 09</t>
  </si>
  <si>
    <t>BCLNR 2020 K12</t>
  </si>
  <si>
    <t>S16Q SCKCR 09</t>
  </si>
  <si>
    <t>BCKNL 2525 M12</t>
  </si>
  <si>
    <t>S20R SCLCL 09</t>
  </si>
  <si>
    <t>BCKNR 2525 M12</t>
  </si>
  <si>
    <t>S20R SCLCR 09</t>
  </si>
  <si>
    <t>BCKNL 2020 K12</t>
  </si>
  <si>
    <t>S20R SCKCL 09</t>
  </si>
  <si>
    <t>BCKNR 2020 K12</t>
  </si>
  <si>
    <t>S20R SCKCR 09</t>
  </si>
  <si>
    <t>BVJNL 2525 M16</t>
  </si>
  <si>
    <t>S25S SCLCL 09</t>
  </si>
  <si>
    <t>BVJNR 2525 M16</t>
  </si>
  <si>
    <t>S25S SCLCR 09</t>
  </si>
  <si>
    <t>BVJNL 2020 K16</t>
  </si>
  <si>
    <t>S25S SCKCL 09</t>
  </si>
  <si>
    <t>BVJNR 2020 K16</t>
  </si>
  <si>
    <t>S25S SCKCR 09</t>
  </si>
  <si>
    <t>BVQNL 2020 K16</t>
  </si>
  <si>
    <t>S08H STFCL 09</t>
  </si>
  <si>
    <t>BVQNR 2020 K16</t>
  </si>
  <si>
    <t>S08H STFCR 09</t>
  </si>
  <si>
    <t>BVQNL 2525 M16</t>
  </si>
  <si>
    <t>S10K STFCL 11</t>
  </si>
  <si>
    <t>BVQNR 2525 M16</t>
  </si>
  <si>
    <t>S10K STFCR 11</t>
  </si>
  <si>
    <t>BVVNN 2525 M16</t>
  </si>
  <si>
    <t>S12M STFCL 11</t>
  </si>
  <si>
    <t>BVVNN 2020 K16</t>
  </si>
  <si>
    <t>S12M STFCR 11</t>
  </si>
  <si>
    <t>BDJNL 2525 M15</t>
  </si>
  <si>
    <t>S16Q STFCL 11</t>
  </si>
  <si>
    <t>BDJNR 2525 M15</t>
  </si>
  <si>
    <t>S16Q STFCR 11</t>
  </si>
  <si>
    <t>BDJNL 2020 K15</t>
  </si>
  <si>
    <t>S20R STFCL 16</t>
  </si>
  <si>
    <t>BDJNR 2020 K15</t>
  </si>
  <si>
    <t>S20R STFCR 16</t>
  </si>
  <si>
    <t>SVJBL 2525 M16</t>
  </si>
  <si>
    <t>S25S STFCL. 16</t>
  </si>
  <si>
    <t>SVJBR 2525 M16</t>
  </si>
  <si>
    <t>S25S STFCR 16</t>
  </si>
  <si>
    <t>SVJBL 2020 K16</t>
  </si>
  <si>
    <t>S10K SDUCL 07</t>
  </si>
  <si>
    <t>SVJBR 2020 K16</t>
  </si>
  <si>
    <t>S10K SDUCR 07</t>
  </si>
  <si>
    <t>SVQBL 2525 M16</t>
  </si>
  <si>
    <t>S10K SDQCL 07</t>
  </si>
  <si>
    <t>SVQBR 2525 M16</t>
  </si>
  <si>
    <t>S10K SDQCR 07</t>
  </si>
  <si>
    <t>SVQBL 2020 K16</t>
  </si>
  <si>
    <t>S10K SDZCL 07</t>
  </si>
  <si>
    <t>SVQBR 2020 K16</t>
  </si>
  <si>
    <t>S10K SDZCR 07</t>
  </si>
  <si>
    <t>SVVBN 2525 M16</t>
  </si>
  <si>
    <t>S12M SDUCL 07</t>
  </si>
  <si>
    <t>SVVBN 2020 K16</t>
  </si>
  <si>
    <t>S12M SDUCR 07</t>
  </si>
  <si>
    <t>SVJNL 2525 M12</t>
  </si>
  <si>
    <t>S12M SDQCL 07</t>
  </si>
  <si>
    <t>SVJNR 2525 M12</t>
  </si>
  <si>
    <t>S12M SDQCR 07</t>
  </si>
  <si>
    <t>SVJNL 2020 K12</t>
  </si>
  <si>
    <t>S12M SDZCL 07</t>
  </si>
  <si>
    <t>SVJNR 2020 K12</t>
  </si>
  <si>
    <t>S12M SDZCR 07</t>
  </si>
  <si>
    <t>SVVNN 2525 M12</t>
  </si>
  <si>
    <t>S16Q SDUCL 11</t>
  </si>
  <si>
    <t>SVVNN 2020 K12</t>
  </si>
  <si>
    <t>S16Q SDUCR 11</t>
  </si>
  <si>
    <t>SVJNL 2525  M16</t>
  </si>
  <si>
    <t>S16Q SDQCL 11</t>
  </si>
  <si>
    <t>SVJNR 2525 M16</t>
  </si>
  <si>
    <t>S16Q SDQCR 11</t>
  </si>
  <si>
    <t>SER 2020 K16</t>
  </si>
  <si>
    <t>S16Q SDZCL 11</t>
  </si>
  <si>
    <t>SEL 2020 K16</t>
  </si>
  <si>
    <t>S16Q SDZCR 11</t>
  </si>
  <si>
    <t>SER 2525 M16</t>
  </si>
  <si>
    <t>S20R SDUCL 11</t>
  </si>
  <si>
    <t>SEL 2525 M16</t>
  </si>
  <si>
    <t>S20R SDUCR 11</t>
  </si>
  <si>
    <t>SER 2525 M22</t>
  </si>
  <si>
    <t>S20R SDQCL 11</t>
  </si>
  <si>
    <t>SEL 2525 M22</t>
  </si>
  <si>
    <t>S20R SDQCR 11</t>
  </si>
  <si>
    <t>ETJNL 2525 M16</t>
  </si>
  <si>
    <t>S20R SDZCL 11</t>
  </si>
  <si>
    <t>ETJNR 2525 M16</t>
  </si>
  <si>
    <t>S20R SDZCR 11</t>
  </si>
  <si>
    <t>ETJNL 2020 K16</t>
  </si>
  <si>
    <t>S25S SDUCL 11</t>
  </si>
  <si>
    <t>ETJNR 2020 K16</t>
  </si>
  <si>
    <t>S25S SDUCR 11</t>
  </si>
  <si>
    <t>ETENN 2525 M16</t>
  </si>
  <si>
    <t>S25S SDQCL 11</t>
  </si>
  <si>
    <t>ETENN 2020 K16</t>
  </si>
  <si>
    <t>S25S SDQCR 11</t>
  </si>
  <si>
    <t>ETQNL 2525 M16</t>
  </si>
  <si>
    <t>S25S SDZCL 11</t>
  </si>
  <si>
    <t>ETQNL 2020 K16</t>
  </si>
  <si>
    <t>S25S SDZCR 11</t>
  </si>
  <si>
    <t>ETQNR 2525 M16</t>
  </si>
  <si>
    <t>S25S BCLNL 12</t>
  </si>
  <si>
    <t>ETQNR 2020 K16</t>
  </si>
  <si>
    <t>S25S BCLNR 12</t>
  </si>
  <si>
    <t>EWLNL 2525 M08</t>
  </si>
  <si>
    <t>S32T BCLNL 12</t>
  </si>
  <si>
    <t>EWLNR 2525 M08</t>
  </si>
  <si>
    <t>S32T BCLNR 12</t>
  </si>
  <si>
    <t>EWLNL 2020 K08</t>
  </si>
  <si>
    <t>S40U BCLNL 12</t>
  </si>
  <si>
    <t>EWLNR 2020 K08</t>
  </si>
  <si>
    <t>S40U BCLNR 12</t>
  </si>
  <si>
    <t>EWLNL 2525 M06</t>
  </si>
  <si>
    <t>S25S BCKNL 12</t>
  </si>
  <si>
    <t>EWLNR 2525 M06</t>
  </si>
  <si>
    <t>S25S BCKNR 12</t>
  </si>
  <si>
    <t>EWLNL 2020 K06</t>
  </si>
  <si>
    <t>S32T BCKNL 12</t>
  </si>
  <si>
    <t>EWLNR 2020 K06</t>
  </si>
  <si>
    <t>S32T BCKNR 12</t>
  </si>
  <si>
    <t>ECLNL 2525 M12</t>
  </si>
  <si>
    <t>S40U BCKNL 12</t>
  </si>
  <si>
    <t>ECLNR 2525 M12</t>
  </si>
  <si>
    <t>S40U BCKNR 12</t>
  </si>
  <si>
    <t>ECLNL 2020 K12</t>
  </si>
  <si>
    <t>S16Q STFNL 16</t>
  </si>
  <si>
    <t>ECLNR 2020 K12</t>
  </si>
  <si>
    <t>S16Q STFNR 16</t>
  </si>
  <si>
    <t>ECKNL 2525 M12</t>
  </si>
  <si>
    <t>S16Q STQNL 16</t>
  </si>
  <si>
    <t>ECKNR 2525 M12</t>
  </si>
  <si>
    <t>S16Q STQNR 16</t>
  </si>
  <si>
    <t>ECKNL 2020 K12</t>
  </si>
  <si>
    <t>S16Q STUNL 16</t>
  </si>
  <si>
    <t>ECKNR 2020 K12</t>
  </si>
  <si>
    <t>S16Q STUNR 16</t>
  </si>
  <si>
    <t>EVJNL 2525 M16</t>
  </si>
  <si>
    <t>S20R STFNL 16</t>
  </si>
  <si>
    <t>EVJNR 2525 M16</t>
  </si>
  <si>
    <t>S20R STFNR 16</t>
  </si>
  <si>
    <t>EVJNL 2020 K16</t>
  </si>
  <si>
    <t>S20R STQNL 16</t>
  </si>
  <si>
    <t>EVJNR 2020 K16</t>
  </si>
  <si>
    <t>S20R STQNR 16</t>
  </si>
  <si>
    <t>EVQNL 2020 K16</t>
  </si>
  <si>
    <t>S20R STUNL 16</t>
  </si>
  <si>
    <t>EVQNR 2020 K16</t>
  </si>
  <si>
    <t>S20R STUNR 16</t>
  </si>
  <si>
    <t>EVQNL 2525 M16</t>
  </si>
  <si>
    <t>S25S BTUNL 16</t>
  </si>
  <si>
    <t>EVQNR 2525 M16</t>
  </si>
  <si>
    <t>S25S BTUNR 16</t>
  </si>
  <si>
    <t>EVVNN 2525 M16</t>
  </si>
  <si>
    <t>S32T BTUNL 16</t>
  </si>
  <si>
    <t>EVVNN 2020 K16</t>
  </si>
  <si>
    <t>S32T BTUNR 16</t>
  </si>
  <si>
    <t>EDJNL 2525 M15</t>
  </si>
  <si>
    <t>S40U BTUNL 16</t>
  </si>
  <si>
    <t>EDJNR 2525 M15</t>
  </si>
  <si>
    <t>S40U BTUNR 16</t>
  </si>
  <si>
    <t>EDJNL 2020 K15</t>
  </si>
  <si>
    <t>S25S BTQNL 16</t>
  </si>
  <si>
    <t>EDJNR 2020 K15</t>
  </si>
  <si>
    <t>S25S BTQNR 16</t>
  </si>
  <si>
    <t>DTJNL 2525 M16</t>
  </si>
  <si>
    <t>S32T BTQNL 16</t>
  </si>
  <si>
    <t>DTJNR 2525 M16</t>
  </si>
  <si>
    <t>S32T BTQNR 16</t>
  </si>
  <si>
    <t>DCLNL 2525 M12</t>
  </si>
  <si>
    <t>S40U BTQNL 16</t>
  </si>
  <si>
    <t>DCLNR 2525 M12</t>
  </si>
  <si>
    <t>S40U BTQNR 16</t>
  </si>
  <si>
    <t>DVJNL 2525 M16</t>
  </si>
  <si>
    <t>S25S BWLNL 06</t>
  </si>
  <si>
    <t>DVJNR 2525 M16</t>
  </si>
  <si>
    <t>S25S BWLNR 06</t>
  </si>
  <si>
    <t>DDJNL 2525 M15</t>
  </si>
  <si>
    <t>S25S BWLNL 08</t>
  </si>
  <si>
    <t>DVJNL 2525 M15</t>
  </si>
  <si>
    <t>S25S BWLNR 08</t>
  </si>
  <si>
    <t>DVJNR 2525 M15</t>
  </si>
  <si>
    <t>S32T BWLNL 08</t>
  </si>
  <si>
    <t>S32T BWLNR 08</t>
  </si>
  <si>
    <t>S40U BWLNL 08</t>
  </si>
  <si>
    <t>S40U BWLNR 08</t>
  </si>
  <si>
    <t>S40U BDUNL 15</t>
  </si>
  <si>
    <t>S40U BDUNR 15</t>
  </si>
  <si>
    <t>S40U BVUNL 16</t>
  </si>
  <si>
    <t>S40U BVUNR 16</t>
  </si>
  <si>
    <t>S10K SCLCL 03-05-20</t>
  </si>
  <si>
    <t>S10K SCLCR 03-05-20</t>
  </si>
  <si>
    <t>S12M SCLCL 03-05-20</t>
  </si>
  <si>
    <t>S12M SCLCR 03-05-20</t>
  </si>
  <si>
    <t>S10K SCLCL 04-06-20</t>
  </si>
  <si>
    <t>S10K SCLCR 04-06-20</t>
  </si>
  <si>
    <t>S12M SCLCL 04-06-20</t>
  </si>
  <si>
    <t>S12M SCLCR 04-06-20</t>
  </si>
  <si>
    <t>S10K SWUBL 06-06-15</t>
  </si>
  <si>
    <t>S10K SWUBR 06-06-15</t>
  </si>
  <si>
    <t>S10K SWUBL 06-06-21</t>
  </si>
  <si>
    <t>S10K SWUBR 06-06-21</t>
  </si>
  <si>
    <t>S12M SWUBL 06-06-15</t>
  </si>
  <si>
    <t>S12M SWUBR 06-06-15</t>
  </si>
  <si>
    <t>S16/8Q SCLCL 06 T35</t>
  </si>
  <si>
    <t>S16/8Q SCLCR 06 T35</t>
  </si>
  <si>
    <t>S16/10Q SCLCL 06 T35</t>
  </si>
  <si>
    <t>S16/10Q SCLCR 06 T35</t>
  </si>
  <si>
    <t>S16/12Q SCLCL 06 T35</t>
  </si>
  <si>
    <t>S16/12Q SCLCR 06 T35</t>
  </si>
  <si>
    <t>S16/14Q SCLCL 09 T35</t>
  </si>
  <si>
    <t>S16/14Q SCLCR 09 T35</t>
  </si>
  <si>
    <t>SNR 0010  K11</t>
  </si>
  <si>
    <t>SNR 0012 M11</t>
  </si>
  <si>
    <t>SNR 0010 K06 T21</t>
  </si>
  <si>
    <t>SNR 0012 M08 T-21</t>
  </si>
  <si>
    <t>SNR 16 10/11 T-35</t>
  </si>
  <si>
    <t>SNR 16/13/16 T-35</t>
  </si>
  <si>
    <t>SNR 16/12/11 T35</t>
  </si>
  <si>
    <t>SNR 16 Q16</t>
  </si>
  <si>
    <t>SNR 20 R16</t>
  </si>
  <si>
    <t>SNR 20 R22</t>
  </si>
  <si>
    <t>SNR 25 S16</t>
  </si>
  <si>
    <t>SNR 32 T16</t>
  </si>
  <si>
    <t>SNR 40 U16</t>
  </si>
  <si>
    <t>SNR 25 S22</t>
  </si>
  <si>
    <t>SNR 32 T22</t>
  </si>
  <si>
    <t>SNR 40 U22</t>
  </si>
  <si>
    <t>S25S ETUNL 16</t>
  </si>
  <si>
    <t>S25S ETUNR 16</t>
  </si>
  <si>
    <t>S32T ETUNL 16</t>
  </si>
  <si>
    <t>S32T ETUNR 16</t>
  </si>
  <si>
    <t>S40U ETUNL 16</t>
  </si>
  <si>
    <t>S40U ETUNR 16</t>
  </si>
  <si>
    <t>S25S EWLNL 08</t>
  </si>
  <si>
    <t>S25S EWLNR 08</t>
  </si>
  <si>
    <t>S32T EWLNL 08</t>
  </si>
  <si>
    <t>S32T EWLNR 08</t>
  </si>
  <si>
    <t>S40U EWLNL 08</t>
  </si>
  <si>
    <t>S40U EWLNR 08</t>
  </si>
  <si>
    <t>S40U EDUNL 15</t>
  </si>
  <si>
    <t>S40U EDUNR 15</t>
  </si>
  <si>
    <t>S40U EVUNL 16</t>
  </si>
  <si>
    <t>S40U EVUNR 16</t>
  </si>
  <si>
    <t>S32T ECLNL 12</t>
  </si>
  <si>
    <t>S32T ECLNR 12</t>
  </si>
  <si>
    <t>S40U ECLNL 12</t>
  </si>
  <si>
    <t>S40U ECLNR 12</t>
  </si>
  <si>
    <t>S25S DCLNL 12</t>
  </si>
  <si>
    <t>S25S DCLNR 12</t>
  </si>
  <si>
    <t>S32T DDUNL 15</t>
  </si>
  <si>
    <t>S32T DDUNR 15</t>
  </si>
  <si>
    <t>TTEL 2525 2T10</t>
  </si>
  <si>
    <t>TTER 2525 2T10</t>
  </si>
  <si>
    <t>TTEL 2525 2T12</t>
  </si>
  <si>
    <t>TTER  2525 2T12</t>
  </si>
  <si>
    <t>TTEL 2525 2T15</t>
  </si>
  <si>
    <t>TTER  2525 2T15</t>
  </si>
  <si>
    <t>TTEL 2525 2T18</t>
  </si>
  <si>
    <t>TTER 2525 2T18</t>
  </si>
  <si>
    <t>TTEL 2525 2T20</t>
  </si>
  <si>
    <t>TTER 2525 2T20</t>
  </si>
  <si>
    <t>TTEL 2525 2T25</t>
  </si>
  <si>
    <t>TTER 2525 2T25</t>
  </si>
  <si>
    <t>TTEL 2525 3T10</t>
  </si>
  <si>
    <t>TTER  2525 3T10</t>
  </si>
  <si>
    <t>TTEL 2525 3T15</t>
  </si>
  <si>
    <t>TTER 2525 3T15</t>
  </si>
  <si>
    <t>TTEL 2525 3T18</t>
  </si>
  <si>
    <t>TTER 2525 3T18</t>
  </si>
  <si>
    <t>TTEL 2525 3T20</t>
  </si>
  <si>
    <t>TTER 2525 3T20</t>
  </si>
  <si>
    <t>TTEL 2525 3T25</t>
  </si>
  <si>
    <t>TTER 2525 3T25</t>
  </si>
  <si>
    <t>TTEL 2525 4T16</t>
  </si>
  <si>
    <t>TTER 2525 4T16</t>
  </si>
  <si>
    <t>TTEL 2525 4T18</t>
  </si>
  <si>
    <t>TTER 2 525 4T18</t>
  </si>
  <si>
    <t>TTEL 2525 4T20</t>
  </si>
  <si>
    <t>TTER 2525 4T20</t>
  </si>
  <si>
    <t>TTEL 2525 4T25</t>
  </si>
  <si>
    <t>TTER 2525 4T25</t>
  </si>
  <si>
    <t>TTEL 2525 5T20</t>
  </si>
  <si>
    <t>TTEL 2020 2T10</t>
  </si>
  <si>
    <t>TTER 2020 2T10</t>
  </si>
  <si>
    <t>TTEL 2020 2T12</t>
  </si>
  <si>
    <t>TTER 2020 2T12</t>
  </si>
  <si>
    <t>TTEL 2020 2T15</t>
  </si>
  <si>
    <t>TTER 2020 2T15</t>
  </si>
  <si>
    <t>TTEL 2020 2T20</t>
  </si>
  <si>
    <t>TTER 2020 2T20</t>
  </si>
  <si>
    <t>TTEL 2020 3T10</t>
  </si>
  <si>
    <t>TTER 2020 3T10</t>
  </si>
  <si>
    <t>TTEL 2020 3T15</t>
  </si>
  <si>
    <t>TTER 2020 3T15</t>
  </si>
  <si>
    <t>TTEL 2020 3T20</t>
  </si>
  <si>
    <t>TTER 2020 3T20</t>
  </si>
  <si>
    <t>TTEL 2020 4T16</t>
  </si>
  <si>
    <t>TTER 2020 4T16</t>
  </si>
  <si>
    <t>TTEL 2020 4T20</t>
  </si>
  <si>
    <t>TTER 2020 4T20</t>
  </si>
  <si>
    <t>MGEHL 2525 1.5T10</t>
  </si>
  <si>
    <t>MGEHR 2525 1.5T10</t>
  </si>
  <si>
    <t>MGEHL 2525 2T12</t>
  </si>
  <si>
    <t>MGEHR 2525 2T12</t>
  </si>
  <si>
    <t>MGHEL 2525 2T15</t>
  </si>
  <si>
    <t>MGEHR 2525 2T15</t>
  </si>
  <si>
    <t>MGHEL 2525 2T20</t>
  </si>
  <si>
    <t>MGHER 2525 2T20</t>
  </si>
  <si>
    <t>MGHEL 2525 3T15</t>
  </si>
  <si>
    <t>MGEHR 2525 3T15</t>
  </si>
  <si>
    <t>MGEHL 2525 3T20</t>
  </si>
  <si>
    <t>MGEHR 2525 3T20</t>
  </si>
  <si>
    <t>MGEHL 2525 4T16</t>
  </si>
  <si>
    <t>MGEHR 2525 4T16</t>
  </si>
  <si>
    <t>MGEHL 2020 2T12</t>
  </si>
  <si>
    <t>MGEHR 2020 2T12</t>
  </si>
  <si>
    <t>MGEHL 2020 2T15</t>
  </si>
  <si>
    <t>MGEHR 2020 2T15</t>
  </si>
  <si>
    <t>MGEHL 2020 3T15</t>
  </si>
  <si>
    <t>MGHER 2020 3T15</t>
  </si>
  <si>
    <t>MGEHL 2020 3T20</t>
  </si>
  <si>
    <t>MGEHR 2020 3T20</t>
  </si>
  <si>
    <t>MGEHL 2020 4T16</t>
  </si>
  <si>
    <t>MGEHR 2020 4T16</t>
  </si>
  <si>
    <t>MGEHL 2525 5T20</t>
  </si>
  <si>
    <t>MGEHR 2525 5T20</t>
  </si>
  <si>
    <t>S16 TTIL 2T6</t>
  </si>
  <si>
    <t>S16 TTIR 2T6</t>
  </si>
  <si>
    <t>S16 TTIL 3T6</t>
  </si>
  <si>
    <t>S16 TTIR 3T6</t>
  </si>
  <si>
    <t>S16 TTIL 4T6</t>
  </si>
  <si>
    <t>S16 TTIR 4T6</t>
  </si>
  <si>
    <t>S20 TTIL 2T6</t>
  </si>
  <si>
    <t>S20 TTIR 2T6</t>
  </si>
  <si>
    <t>S20 TTIL 3T6</t>
  </si>
  <si>
    <t>S20 TTIR 3T6</t>
  </si>
  <si>
    <t>S20 TTIL 4T6</t>
  </si>
  <si>
    <t>S20 TTIR 4T6</t>
  </si>
  <si>
    <t>S25 TTIL 2T6</t>
  </si>
  <si>
    <t>S25 TTIR 2T6</t>
  </si>
  <si>
    <t>S25 TTIL 3T6</t>
  </si>
  <si>
    <t>S25 TTIR 3T6</t>
  </si>
  <si>
    <t>S25 TTIL 4T6</t>
  </si>
  <si>
    <t>S25 TTIR 4T6</t>
  </si>
  <si>
    <t>S32 TTIL 2T6</t>
  </si>
  <si>
    <t>S32 TTIR 2T6</t>
  </si>
  <si>
    <t>S32 TTIL 3T6</t>
  </si>
  <si>
    <t>S32 TTIR 3T6</t>
  </si>
  <si>
    <t>S32 TTIL 4T6</t>
  </si>
  <si>
    <t>S32 TTIR 4T6</t>
  </si>
  <si>
    <t>S40 TTIL 2T6</t>
  </si>
  <si>
    <t>S40 TTIR 2T6</t>
  </si>
  <si>
    <t>S40 TTIL 3T6</t>
  </si>
  <si>
    <t>S40 TTIR 3T6</t>
  </si>
  <si>
    <t>S40 TTIL 4T6</t>
  </si>
  <si>
    <t>S40 TTIR 4T6</t>
  </si>
  <si>
    <t>TTFR 2525 2T12 (10-20)</t>
  </si>
  <si>
    <t>TTFR 2525 2T12 (20-40)</t>
  </si>
  <si>
    <t>TTFR 2525 2T12 (30-60)</t>
  </si>
  <si>
    <t>TTFR 2525 2T12 (40-80)</t>
  </si>
  <si>
    <t>TTFR 2525 2T15 (50-150)</t>
  </si>
  <si>
    <t>TTFR 2525 2T15 (100-200)</t>
  </si>
  <si>
    <t>TTFR 2525 2T15 (200-300)</t>
  </si>
  <si>
    <t>TTFR 2525 3T15 (10-20)</t>
  </si>
  <si>
    <t>TTFR 2525 3T15 (20-40)</t>
  </si>
  <si>
    <t>TTFR 2525 3T15 (30-60)</t>
  </si>
  <si>
    <t>TTFR 2525 3T18 (40-80)</t>
  </si>
  <si>
    <t>TTFR 2525 3T18 (50-150)</t>
  </si>
  <si>
    <t>TTFR 2525 3T18 (100-200)</t>
  </si>
  <si>
    <t>TTFR 2525 3T18 (200-300)</t>
  </si>
  <si>
    <t>PCLNL 2525 M12</t>
  </si>
  <si>
    <t>PCLNR 2525 M12</t>
  </si>
  <si>
    <t>PCLNL 2020 K12</t>
  </si>
  <si>
    <t>PCLNR 2020 K12</t>
  </si>
  <si>
    <t>PDJNL 2525 M15</t>
  </si>
  <si>
    <t>PDJNR 2525 M15</t>
  </si>
  <si>
    <t>PDJNL 2020 K15</t>
  </si>
  <si>
    <t>PDJNR 2020 K15</t>
  </si>
  <si>
    <t>S25S PCLNL 12</t>
  </si>
  <si>
    <t>S25S PCLNR 12</t>
  </si>
  <si>
    <t>S32T PCLNL 12</t>
  </si>
  <si>
    <t>S32T PCLNR 12</t>
  </si>
  <si>
    <t>S25S PDUNL 15</t>
  </si>
  <si>
    <t>S25S PDUNR 15</t>
  </si>
  <si>
    <t>S32T PDUNL 15</t>
  </si>
  <si>
    <t>S32T PDUNR 15</t>
  </si>
  <si>
    <t>MTJNL 2525 M16</t>
  </si>
  <si>
    <t>MTJNR 2525 M16</t>
  </si>
  <si>
    <t>MCLNL 2525 M12</t>
  </si>
  <si>
    <t>MCLNR 2525 M12</t>
  </si>
  <si>
    <t>MWLNL 2525 M08</t>
  </si>
  <si>
    <t>MWLNR 2525 M08</t>
  </si>
  <si>
    <t>MDJNL 2525 M15</t>
  </si>
  <si>
    <t>MDJNR 2525 M15</t>
  </si>
  <si>
    <t>S25S MTJNL 16</t>
  </si>
  <si>
    <t>S25S MTJNR 16</t>
  </si>
  <si>
    <t>S32T MTJNL 16</t>
  </si>
  <si>
    <t>S32T MTJNR 16</t>
  </si>
  <si>
    <t>S25S MCLNL 12</t>
  </si>
  <si>
    <t>S25S MCLNR 12</t>
  </si>
  <si>
    <t>S32T MCLNL 12</t>
  </si>
  <si>
    <t>S32T MCLNR 12</t>
  </si>
  <si>
    <t>S25S MWLNL 08</t>
  </si>
  <si>
    <t>S25S MWLNR 08</t>
  </si>
  <si>
    <t>S32T MWLNL 08</t>
  </si>
  <si>
    <t>S32T MWLNR 08</t>
  </si>
  <si>
    <t>BAP300R-12-C12-150-1T</t>
  </si>
  <si>
    <t>BAP300R-10-C10-150-1T</t>
  </si>
  <si>
    <t>BAP300R-16-C16-200-2T</t>
  </si>
  <si>
    <t>BAP300R-18-C16-200-2T</t>
  </si>
  <si>
    <t>BAP300R-14-C14-150-1T</t>
  </si>
  <si>
    <t>BAP300R-20-C20-150-2T</t>
  </si>
  <si>
    <t>BAP300R-20-C20-200-2T</t>
  </si>
  <si>
    <t>BAP300R-25-C25-200-3T</t>
  </si>
  <si>
    <t>BAP300R-25-C25-150-3T</t>
  </si>
  <si>
    <t>BAP400R-25-C25-150-2T</t>
  </si>
  <si>
    <t>BAP400R-25-C25-200-2T</t>
  </si>
  <si>
    <t>BAP400R-32-C32-150-3T</t>
  </si>
  <si>
    <t>BAP400R-32-C32-200-3T</t>
  </si>
  <si>
    <t>BAP400R-40-C32-200-4T</t>
  </si>
  <si>
    <t>BAP400R-40-22-4T</t>
  </si>
  <si>
    <t>BAP400R-50-22-4T</t>
  </si>
  <si>
    <t>BAP400R-63-22-5T</t>
  </si>
  <si>
    <t>BAP400R-80-27-6T</t>
  </si>
  <si>
    <t>BAP400R-100-32-6T</t>
  </si>
  <si>
    <t>BAP400R-125-40-8T</t>
  </si>
  <si>
    <t>EMR-5R-25-C25-200-2T</t>
  </si>
  <si>
    <t>EMR-6R-25-C25-200-2T</t>
  </si>
  <si>
    <t>EMR-6R-32-C32-200-2T</t>
  </si>
  <si>
    <t>EMR-6R-50-22-4T</t>
  </si>
  <si>
    <t>EMR-6R-63-22-5T</t>
  </si>
  <si>
    <t>EMR-6R-80-27-6T</t>
  </si>
  <si>
    <t>EMR-6R-100-32-6T</t>
  </si>
  <si>
    <t>EMR-6R-125-40-8T</t>
  </si>
  <si>
    <t>EXN03-16-C16-200-2T</t>
  </si>
  <si>
    <t>EXN03-20-C20-200-3T</t>
  </si>
  <si>
    <t>EXN03-25-C25-200-4T</t>
  </si>
  <si>
    <t>EXN03-32-C32-200-5T</t>
  </si>
  <si>
    <t>SDMT1204-50-22-4T</t>
  </si>
  <si>
    <t>BAP300R-16-C16-150-2T</t>
  </si>
  <si>
    <t>MGEHL 2525 4T20</t>
  </si>
  <si>
    <t>MGEHR 2525 4T20</t>
  </si>
  <si>
    <t>SNR 16/13 16 T-35</t>
  </si>
  <si>
    <t>SNR 16/10 11 T-35</t>
  </si>
  <si>
    <t>QTY</t>
  </si>
  <si>
    <t>SALE MAY</t>
  </si>
  <si>
    <t>SALE APR</t>
  </si>
  <si>
    <t>2M SALE</t>
  </si>
  <si>
    <t>3M REQ</t>
  </si>
  <si>
    <t>OUR STOCK</t>
  </si>
  <si>
    <t>DATE - 06-06-2026</t>
  </si>
  <si>
    <t>OUR REQ</t>
  </si>
  <si>
    <t>DATE -06-06-2026</t>
  </si>
  <si>
    <t>S.NO</t>
  </si>
  <si>
    <t>REQ FOR NK SIR</t>
  </si>
  <si>
    <t>HUSSAIN JI</t>
  </si>
  <si>
    <t>DATE</t>
  </si>
  <si>
    <t>ORDER QTY</t>
  </si>
  <si>
    <t xml:space="preserve">TOTAL </t>
  </si>
  <si>
    <t>NO ORDER</t>
  </si>
  <si>
    <t xml:space="preserve">MANAN </t>
  </si>
  <si>
    <t>PANKAJ JI</t>
  </si>
  <si>
    <t>NO DATE</t>
  </si>
  <si>
    <t>MGEHL 2525 2T15</t>
  </si>
  <si>
    <t>DATE -09-06-2026</t>
  </si>
  <si>
    <t>UPCOMING ORDER VERIFY LIST</t>
  </si>
  <si>
    <t>ORDER BY SURAJ</t>
  </si>
  <si>
    <t xml:space="preserve"> </t>
  </si>
  <si>
    <t>NK SIR CRITERIA</t>
  </si>
  <si>
    <t>ALREADY ORDER</t>
  </si>
  <si>
    <t>EXTRA</t>
  </si>
  <si>
    <t>LOW/EXTRA</t>
  </si>
  <si>
    <t>ORDER REQ</t>
  </si>
  <si>
    <t>TOTAL ACSSE ORDER</t>
  </si>
  <si>
    <t>FACTORY</t>
  </si>
  <si>
    <t>SHARMA JI</t>
  </si>
  <si>
    <t>DEEPAK JI</t>
  </si>
  <si>
    <t>SANCHI</t>
  </si>
  <si>
    <t>DATE 22-06</t>
  </si>
  <si>
    <t>MGEHL 2525 3T15</t>
  </si>
  <si>
    <t>SNR 0010 K11</t>
  </si>
  <si>
    <t>TTER 2525 2T12</t>
  </si>
  <si>
    <t>TTER 2525 2T15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</si>
</sst>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5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5"/>
  <sheetViews>
    <sheetView workbookViewId="0">
      <selection activeCell="H17" sqref="H17"/>
    </sheetView>
  </sheetViews>
  <sheetFormatPr defaultRowHeight="15" x14ac:dyDescent="0.25"/>
  <cols>
    <col min="1" max="1" width="6.42578125" bestFit="1" customWidth="1"/>
    <col min="2" max="2" width="27.42578125" bestFit="1" customWidth="1"/>
    <col min="3" max="3" width="9.5703125" bestFit="1" customWidth="1"/>
    <col min="5" max="5" width="6.42578125" bestFit="1" customWidth="1"/>
    <col min="6" max="6" width="25" bestFit="1" customWidth="1"/>
    <col min="7" max="7" width="9.5703125" bestFit="1" customWidth="1"/>
  </cols>
  <sheetData>
    <row r="1" spans="1:7" ht="21" x14ac:dyDescent="0.35">
      <c r="A1" s="47" t="s">
        <v>0</v>
      </c>
      <c r="B1" s="47"/>
      <c r="C1" s="47"/>
      <c r="D1" s="13"/>
      <c r="E1" s="47" t="s">
        <v>1</v>
      </c>
      <c r="F1" s="47"/>
      <c r="G1" s="47"/>
    </row>
    <row r="2" spans="1:7" ht="15.75" x14ac:dyDescent="0.25">
      <c r="A2" s="14" t="s">
        <v>2</v>
      </c>
      <c r="B2" s="14" t="s">
        <v>3</v>
      </c>
      <c r="C2" s="14" t="s">
        <v>4</v>
      </c>
      <c r="D2" s="15"/>
      <c r="E2" s="14" t="s">
        <v>2</v>
      </c>
      <c r="F2" s="14" t="s">
        <v>3</v>
      </c>
      <c r="G2" s="14" t="s">
        <v>4</v>
      </c>
    </row>
    <row r="3" spans="1:7" ht="15.75" x14ac:dyDescent="0.25">
      <c r="A3" s="16">
        <v>1</v>
      </c>
      <c r="B3" s="1" t="s">
        <v>5</v>
      </c>
      <c r="C3" s="2">
        <v>100</v>
      </c>
      <c r="D3" s="3"/>
      <c r="E3" s="16">
        <v>1</v>
      </c>
      <c r="F3" s="4" t="s">
        <v>6</v>
      </c>
      <c r="G3" s="5">
        <v>50</v>
      </c>
    </row>
    <row r="4" spans="1:7" ht="15.75" x14ac:dyDescent="0.25">
      <c r="A4" s="16">
        <v>2</v>
      </c>
      <c r="B4" s="1" t="s">
        <v>7</v>
      </c>
      <c r="C4" s="2">
        <v>50</v>
      </c>
      <c r="D4" s="3"/>
      <c r="E4" s="16">
        <v>2</v>
      </c>
      <c r="F4" s="4" t="s">
        <v>8</v>
      </c>
      <c r="G4" s="5">
        <v>50</v>
      </c>
    </row>
    <row r="5" spans="1:7" ht="15.75" x14ac:dyDescent="0.25">
      <c r="A5" s="16">
        <v>3</v>
      </c>
      <c r="B5" s="1" t="s">
        <v>9</v>
      </c>
      <c r="C5" s="2">
        <v>50</v>
      </c>
      <c r="D5" s="3"/>
      <c r="E5" s="16">
        <v>3</v>
      </c>
      <c r="F5" s="1" t="s">
        <v>10</v>
      </c>
      <c r="G5" s="2">
        <v>200</v>
      </c>
    </row>
    <row r="6" spans="1:7" ht="15.75" x14ac:dyDescent="0.25">
      <c r="A6" s="16">
        <v>4</v>
      </c>
      <c r="B6" s="1" t="s">
        <v>11</v>
      </c>
      <c r="C6" s="2">
        <v>50</v>
      </c>
      <c r="D6" s="3"/>
      <c r="E6" s="16">
        <v>4</v>
      </c>
      <c r="F6" s="1" t="s">
        <v>12</v>
      </c>
      <c r="G6" s="2">
        <v>200</v>
      </c>
    </row>
    <row r="7" spans="1:7" ht="15.75" x14ac:dyDescent="0.25">
      <c r="A7" s="16">
        <v>5</v>
      </c>
      <c r="B7" s="1" t="s">
        <v>13</v>
      </c>
      <c r="C7" s="2">
        <v>20</v>
      </c>
      <c r="D7" s="3"/>
      <c r="E7" s="16">
        <v>5</v>
      </c>
      <c r="F7" s="1" t="s">
        <v>14</v>
      </c>
      <c r="G7" s="2">
        <v>20</v>
      </c>
    </row>
    <row r="8" spans="1:7" ht="15.75" x14ac:dyDescent="0.25">
      <c r="A8" s="16">
        <v>6</v>
      </c>
      <c r="B8" s="1" t="s">
        <v>15</v>
      </c>
      <c r="C8" s="2">
        <v>20</v>
      </c>
      <c r="D8" s="3"/>
      <c r="E8" s="16">
        <v>6</v>
      </c>
      <c r="F8" s="1" t="s">
        <v>16</v>
      </c>
      <c r="G8" s="2">
        <v>20</v>
      </c>
    </row>
    <row r="9" spans="1:7" ht="15.75" x14ac:dyDescent="0.25">
      <c r="A9" s="16">
        <v>7</v>
      </c>
      <c r="B9" s="1" t="s">
        <v>17</v>
      </c>
      <c r="C9" s="2">
        <v>50</v>
      </c>
      <c r="D9" s="3"/>
      <c r="E9" s="16">
        <v>7</v>
      </c>
      <c r="F9" s="1" t="s">
        <v>18</v>
      </c>
      <c r="G9" s="2">
        <v>200</v>
      </c>
    </row>
    <row r="10" spans="1:7" ht="15.75" x14ac:dyDescent="0.25">
      <c r="A10" s="16">
        <v>8</v>
      </c>
      <c r="B10" s="1" t="s">
        <v>19</v>
      </c>
      <c r="C10" s="2">
        <v>20</v>
      </c>
      <c r="D10" s="3"/>
      <c r="E10" s="16">
        <v>8</v>
      </c>
      <c r="F10" s="1" t="s">
        <v>20</v>
      </c>
      <c r="G10" s="2">
        <v>200</v>
      </c>
    </row>
    <row r="11" spans="1:7" ht="15.75" x14ac:dyDescent="0.25">
      <c r="A11" s="16">
        <v>9</v>
      </c>
      <c r="B11" s="1" t="s">
        <v>21</v>
      </c>
      <c r="C11" s="2">
        <v>20</v>
      </c>
      <c r="D11" s="3"/>
      <c r="E11" s="16">
        <v>9</v>
      </c>
      <c r="F11" s="1" t="s">
        <v>22</v>
      </c>
      <c r="G11" s="2">
        <v>20</v>
      </c>
    </row>
    <row r="12" spans="1:7" ht="15.75" x14ac:dyDescent="0.25">
      <c r="A12" s="16">
        <v>10</v>
      </c>
      <c r="B12" s="1" t="s">
        <v>23</v>
      </c>
      <c r="C12" s="2">
        <v>20</v>
      </c>
      <c r="D12" s="3"/>
      <c r="E12" s="16">
        <v>10</v>
      </c>
      <c r="F12" s="1" t="s">
        <v>24</v>
      </c>
      <c r="G12" s="2">
        <v>20</v>
      </c>
    </row>
    <row r="13" spans="1:7" ht="15.75" x14ac:dyDescent="0.25">
      <c r="A13" s="16">
        <v>11</v>
      </c>
      <c r="B13" s="1" t="s">
        <v>25</v>
      </c>
      <c r="C13" s="2">
        <v>50</v>
      </c>
      <c r="D13" s="3"/>
      <c r="E13" s="16">
        <v>11</v>
      </c>
      <c r="F13" s="1" t="s">
        <v>26</v>
      </c>
      <c r="G13" s="2">
        <v>100</v>
      </c>
    </row>
    <row r="14" spans="1:7" ht="15.75" x14ac:dyDescent="0.25">
      <c r="A14" s="16">
        <v>12</v>
      </c>
      <c r="B14" s="1" t="s">
        <v>27</v>
      </c>
      <c r="C14" s="2">
        <v>50</v>
      </c>
      <c r="D14" s="3"/>
      <c r="E14" s="16">
        <v>12</v>
      </c>
      <c r="F14" s="1" t="s">
        <v>28</v>
      </c>
      <c r="G14" s="2">
        <v>100</v>
      </c>
    </row>
    <row r="15" spans="1:7" ht="15.75" x14ac:dyDescent="0.25">
      <c r="A15" s="16">
        <v>13</v>
      </c>
      <c r="B15" s="1" t="s">
        <v>29</v>
      </c>
      <c r="C15" s="2">
        <v>20</v>
      </c>
      <c r="D15" s="3"/>
      <c r="E15" s="16">
        <v>13</v>
      </c>
      <c r="F15" s="1" t="s">
        <v>30</v>
      </c>
      <c r="G15" s="2">
        <v>20</v>
      </c>
    </row>
    <row r="16" spans="1:7" ht="15.75" x14ac:dyDescent="0.25">
      <c r="A16" s="16">
        <v>14</v>
      </c>
      <c r="B16" s="1" t="s">
        <v>31</v>
      </c>
      <c r="C16" s="2">
        <v>20</v>
      </c>
      <c r="D16" s="3"/>
      <c r="E16" s="16">
        <v>14</v>
      </c>
      <c r="F16" s="1" t="s">
        <v>32</v>
      </c>
      <c r="G16" s="2">
        <v>20</v>
      </c>
    </row>
    <row r="17" spans="1:7" ht="15.75" x14ac:dyDescent="0.25">
      <c r="A17" s="16">
        <v>15</v>
      </c>
      <c r="B17" s="1" t="s">
        <v>33</v>
      </c>
      <c r="C17" s="2">
        <v>20</v>
      </c>
      <c r="D17" s="3"/>
      <c r="E17" s="16">
        <v>15</v>
      </c>
      <c r="F17" s="1" t="s">
        <v>34</v>
      </c>
      <c r="G17" s="2">
        <v>200</v>
      </c>
    </row>
    <row r="18" spans="1:7" ht="15.75" x14ac:dyDescent="0.25">
      <c r="A18" s="16">
        <v>16</v>
      </c>
      <c r="B18" s="1" t="s">
        <v>35</v>
      </c>
      <c r="C18" s="2">
        <v>20</v>
      </c>
      <c r="D18" s="3"/>
      <c r="E18" s="16">
        <v>16</v>
      </c>
      <c r="F18" s="1" t="s">
        <v>36</v>
      </c>
      <c r="G18" s="2">
        <v>200</v>
      </c>
    </row>
    <row r="19" spans="1:7" ht="15.75" x14ac:dyDescent="0.25">
      <c r="A19" s="16">
        <v>17</v>
      </c>
      <c r="B19" s="1" t="s">
        <v>37</v>
      </c>
      <c r="C19" s="2">
        <v>20</v>
      </c>
      <c r="D19" s="3"/>
      <c r="E19" s="16">
        <v>17</v>
      </c>
      <c r="F19" s="1" t="s">
        <v>38</v>
      </c>
      <c r="G19" s="2">
        <v>20</v>
      </c>
    </row>
    <row r="20" spans="1:7" ht="15.75" x14ac:dyDescent="0.25">
      <c r="A20" s="16">
        <v>18</v>
      </c>
      <c r="B20" s="1" t="s">
        <v>39</v>
      </c>
      <c r="C20" s="2">
        <v>20</v>
      </c>
      <c r="D20" s="3"/>
      <c r="E20" s="16">
        <v>18</v>
      </c>
      <c r="F20" s="1" t="s">
        <v>40</v>
      </c>
      <c r="G20" s="2">
        <v>20</v>
      </c>
    </row>
    <row r="21" spans="1:7" ht="15.75" x14ac:dyDescent="0.25">
      <c r="A21" s="16">
        <v>19</v>
      </c>
      <c r="B21" s="1" t="s">
        <v>41</v>
      </c>
      <c r="C21" s="2">
        <v>50</v>
      </c>
      <c r="D21" s="3"/>
      <c r="E21" s="16">
        <v>19</v>
      </c>
      <c r="F21" s="1" t="s">
        <v>42</v>
      </c>
      <c r="G21" s="2">
        <v>150</v>
      </c>
    </row>
    <row r="22" spans="1:7" ht="15.75" x14ac:dyDescent="0.25">
      <c r="A22" s="16">
        <v>20</v>
      </c>
      <c r="B22" s="1" t="s">
        <v>43</v>
      </c>
      <c r="C22" s="2">
        <v>50</v>
      </c>
      <c r="D22" s="3"/>
      <c r="E22" s="16">
        <v>20</v>
      </c>
      <c r="F22" s="1" t="s">
        <v>44</v>
      </c>
      <c r="G22" s="2">
        <v>150</v>
      </c>
    </row>
    <row r="23" spans="1:7" ht="15.75" x14ac:dyDescent="0.25">
      <c r="A23" s="16">
        <v>21</v>
      </c>
      <c r="B23" s="1" t="s">
        <v>45</v>
      </c>
      <c r="C23" s="2">
        <v>20</v>
      </c>
      <c r="D23" s="3"/>
      <c r="E23" s="16">
        <v>21</v>
      </c>
      <c r="F23" s="1" t="s">
        <v>46</v>
      </c>
      <c r="G23" s="2">
        <v>20</v>
      </c>
    </row>
    <row r="24" spans="1:7" ht="15.75" x14ac:dyDescent="0.25">
      <c r="A24" s="16">
        <v>22</v>
      </c>
      <c r="B24" s="1" t="s">
        <v>47</v>
      </c>
      <c r="C24" s="2">
        <v>20</v>
      </c>
      <c r="D24" s="3"/>
      <c r="E24" s="16">
        <v>22</v>
      </c>
      <c r="F24" s="1" t="s">
        <v>48</v>
      </c>
      <c r="G24" s="2">
        <v>20</v>
      </c>
    </row>
    <row r="25" spans="1:7" ht="15.75" x14ac:dyDescent="0.25">
      <c r="A25" s="16">
        <v>23</v>
      </c>
      <c r="B25" s="1" t="s">
        <v>49</v>
      </c>
      <c r="C25" s="2">
        <v>20</v>
      </c>
      <c r="D25" s="3"/>
      <c r="E25" s="16">
        <v>23</v>
      </c>
      <c r="F25" s="1" t="s">
        <v>50</v>
      </c>
      <c r="G25" s="2">
        <v>100</v>
      </c>
    </row>
    <row r="26" spans="1:7" ht="15.75" x14ac:dyDescent="0.25">
      <c r="A26" s="16">
        <v>24</v>
      </c>
      <c r="B26" s="1" t="s">
        <v>51</v>
      </c>
      <c r="C26" s="2">
        <v>20</v>
      </c>
      <c r="D26" s="3"/>
      <c r="E26" s="16">
        <v>24</v>
      </c>
      <c r="F26" s="1" t="s">
        <v>52</v>
      </c>
      <c r="G26" s="2">
        <v>100</v>
      </c>
    </row>
    <row r="27" spans="1:7" ht="15.75" x14ac:dyDescent="0.25">
      <c r="A27" s="16">
        <v>25</v>
      </c>
      <c r="B27" s="1" t="s">
        <v>53</v>
      </c>
      <c r="C27" s="2">
        <v>20</v>
      </c>
      <c r="D27" s="3"/>
      <c r="E27" s="16">
        <v>25</v>
      </c>
      <c r="F27" s="1" t="s">
        <v>54</v>
      </c>
      <c r="G27" s="2">
        <v>20</v>
      </c>
    </row>
    <row r="28" spans="1:7" ht="15.75" x14ac:dyDescent="0.25">
      <c r="A28" s="16">
        <v>26</v>
      </c>
      <c r="B28" s="1" t="s">
        <v>55</v>
      </c>
      <c r="C28" s="2">
        <v>20</v>
      </c>
      <c r="D28" s="3"/>
      <c r="E28" s="16">
        <v>26</v>
      </c>
      <c r="F28" s="1" t="s">
        <v>56</v>
      </c>
      <c r="G28" s="2">
        <v>20</v>
      </c>
    </row>
    <row r="29" spans="1:7" ht="15.75" x14ac:dyDescent="0.25">
      <c r="A29" s="16">
        <v>27</v>
      </c>
      <c r="B29" s="1" t="s">
        <v>57</v>
      </c>
      <c r="C29" s="2">
        <v>50</v>
      </c>
      <c r="D29" s="3"/>
      <c r="E29" s="16">
        <v>27</v>
      </c>
      <c r="F29" s="1" t="s">
        <v>58</v>
      </c>
      <c r="G29" s="2">
        <v>30</v>
      </c>
    </row>
    <row r="30" spans="1:7" ht="15.75" x14ac:dyDescent="0.25">
      <c r="A30" s="16">
        <v>28</v>
      </c>
      <c r="B30" s="1" t="s">
        <v>59</v>
      </c>
      <c r="C30" s="2">
        <v>50</v>
      </c>
      <c r="D30" s="3"/>
      <c r="E30" s="16">
        <v>28</v>
      </c>
      <c r="F30" s="1" t="s">
        <v>60</v>
      </c>
      <c r="G30" s="2">
        <v>30</v>
      </c>
    </row>
    <row r="31" spans="1:7" ht="15.75" x14ac:dyDescent="0.25">
      <c r="A31" s="16">
        <v>29</v>
      </c>
      <c r="B31" s="1" t="s">
        <v>61</v>
      </c>
      <c r="C31" s="2">
        <v>20</v>
      </c>
      <c r="D31" s="3"/>
      <c r="E31" s="16">
        <v>29</v>
      </c>
      <c r="F31" s="1" t="s">
        <v>62</v>
      </c>
      <c r="G31" s="2">
        <v>10</v>
      </c>
    </row>
    <row r="32" spans="1:7" ht="15.75" x14ac:dyDescent="0.25">
      <c r="A32" s="16">
        <v>30</v>
      </c>
      <c r="B32" s="1" t="s">
        <v>63</v>
      </c>
      <c r="C32" s="2">
        <v>20</v>
      </c>
      <c r="D32" s="3"/>
      <c r="E32" s="16">
        <v>30</v>
      </c>
      <c r="F32" s="1" t="s">
        <v>64</v>
      </c>
      <c r="G32" s="2">
        <v>10</v>
      </c>
    </row>
    <row r="33" spans="1:7" ht="15.75" x14ac:dyDescent="0.25">
      <c r="A33" s="16">
        <v>31</v>
      </c>
      <c r="B33" s="1" t="s">
        <v>65</v>
      </c>
      <c r="C33" s="2">
        <v>20</v>
      </c>
      <c r="D33" s="3"/>
      <c r="E33" s="16">
        <v>31</v>
      </c>
      <c r="F33" s="1" t="s">
        <v>66</v>
      </c>
      <c r="G33" s="2">
        <v>10</v>
      </c>
    </row>
    <row r="34" spans="1:7" ht="15.75" x14ac:dyDescent="0.25">
      <c r="A34" s="16">
        <v>32</v>
      </c>
      <c r="B34" s="1" t="s">
        <v>67</v>
      </c>
      <c r="C34" s="2">
        <v>20</v>
      </c>
      <c r="D34" s="3"/>
      <c r="E34" s="16">
        <v>32</v>
      </c>
      <c r="F34" s="1" t="s">
        <v>68</v>
      </c>
      <c r="G34" s="2">
        <v>10</v>
      </c>
    </row>
    <row r="35" spans="1:7" ht="15.75" x14ac:dyDescent="0.25">
      <c r="A35" s="16">
        <v>33</v>
      </c>
      <c r="B35" s="1" t="s">
        <v>69</v>
      </c>
      <c r="C35" s="2">
        <v>20</v>
      </c>
      <c r="D35" s="3"/>
      <c r="E35" s="16">
        <v>33</v>
      </c>
      <c r="F35" s="1" t="s">
        <v>70</v>
      </c>
      <c r="G35" s="2">
        <v>20</v>
      </c>
    </row>
    <row r="36" spans="1:7" ht="15.75" x14ac:dyDescent="0.25">
      <c r="A36" s="16">
        <v>34</v>
      </c>
      <c r="B36" s="1" t="s">
        <v>71</v>
      </c>
      <c r="C36" s="2">
        <v>20</v>
      </c>
      <c r="D36" s="3"/>
      <c r="E36" s="16">
        <v>34</v>
      </c>
      <c r="F36" s="1" t="s">
        <v>72</v>
      </c>
      <c r="G36" s="2">
        <v>20</v>
      </c>
    </row>
    <row r="37" spans="1:7" ht="15.75" x14ac:dyDescent="0.25">
      <c r="A37" s="16">
        <v>35</v>
      </c>
      <c r="B37" s="1" t="s">
        <v>73</v>
      </c>
      <c r="C37" s="2">
        <v>20</v>
      </c>
      <c r="D37" s="3"/>
      <c r="E37" s="16">
        <v>35</v>
      </c>
      <c r="F37" s="1" t="s">
        <v>74</v>
      </c>
      <c r="G37" s="2">
        <v>20</v>
      </c>
    </row>
    <row r="38" spans="1:7" ht="15.75" x14ac:dyDescent="0.25">
      <c r="A38" s="16">
        <v>36</v>
      </c>
      <c r="B38" s="1" t="s">
        <v>75</v>
      </c>
      <c r="C38" s="2">
        <v>20</v>
      </c>
      <c r="D38" s="3"/>
      <c r="E38" s="16">
        <v>36</v>
      </c>
      <c r="F38" s="1" t="s">
        <v>76</v>
      </c>
      <c r="G38" s="2">
        <v>20</v>
      </c>
    </row>
    <row r="39" spans="1:7" ht="15.75" x14ac:dyDescent="0.25">
      <c r="A39" s="16">
        <v>37</v>
      </c>
      <c r="B39" s="1" t="s">
        <v>77</v>
      </c>
      <c r="C39" s="2">
        <v>50</v>
      </c>
      <c r="D39" s="3"/>
      <c r="E39" s="16">
        <v>37</v>
      </c>
      <c r="F39" s="1" t="s">
        <v>78</v>
      </c>
      <c r="G39" s="2">
        <v>10</v>
      </c>
    </row>
    <row r="40" spans="1:7" ht="15.75" x14ac:dyDescent="0.25">
      <c r="A40" s="16">
        <v>38</v>
      </c>
      <c r="B40" s="1" t="s">
        <v>79</v>
      </c>
      <c r="C40" s="2">
        <v>50</v>
      </c>
      <c r="D40" s="3"/>
      <c r="E40" s="16">
        <v>38</v>
      </c>
      <c r="F40" s="1" t="s">
        <v>80</v>
      </c>
      <c r="G40" s="2">
        <v>10</v>
      </c>
    </row>
    <row r="41" spans="1:7" ht="15.75" x14ac:dyDescent="0.25">
      <c r="A41" s="16">
        <v>39</v>
      </c>
      <c r="B41" s="1" t="s">
        <v>81</v>
      </c>
      <c r="C41" s="2">
        <v>20</v>
      </c>
      <c r="D41" s="3"/>
      <c r="E41" s="16">
        <v>39</v>
      </c>
      <c r="F41" s="1" t="s">
        <v>82</v>
      </c>
      <c r="G41" s="2">
        <v>10</v>
      </c>
    </row>
    <row r="42" spans="1:7" ht="15.75" x14ac:dyDescent="0.25">
      <c r="A42" s="16">
        <v>40</v>
      </c>
      <c r="B42" s="1" t="s">
        <v>83</v>
      </c>
      <c r="C42" s="2">
        <v>20</v>
      </c>
      <c r="D42" s="3"/>
      <c r="E42" s="16">
        <v>40</v>
      </c>
      <c r="F42" s="1" t="s">
        <v>84</v>
      </c>
      <c r="G42" s="2">
        <v>10</v>
      </c>
    </row>
    <row r="43" spans="1:7" ht="15.75" x14ac:dyDescent="0.25">
      <c r="A43" s="16">
        <v>41</v>
      </c>
      <c r="B43" s="1" t="s">
        <v>85</v>
      </c>
      <c r="C43" s="2">
        <v>50</v>
      </c>
      <c r="D43" s="3"/>
      <c r="E43" s="16">
        <v>41</v>
      </c>
      <c r="F43" s="1" t="s">
        <v>86</v>
      </c>
      <c r="G43" s="2">
        <v>5</v>
      </c>
    </row>
    <row r="44" spans="1:7" ht="15.75" x14ac:dyDescent="0.25">
      <c r="A44" s="16">
        <v>42</v>
      </c>
      <c r="B44" s="1" t="s">
        <v>87</v>
      </c>
      <c r="C44" s="2">
        <v>50</v>
      </c>
      <c r="D44" s="3"/>
      <c r="E44" s="16">
        <v>42</v>
      </c>
      <c r="F44" s="1" t="s">
        <v>88</v>
      </c>
      <c r="G44" s="2">
        <v>5</v>
      </c>
    </row>
    <row r="45" spans="1:7" ht="15.75" x14ac:dyDescent="0.25">
      <c r="A45" s="16">
        <v>43</v>
      </c>
      <c r="B45" s="1" t="s">
        <v>89</v>
      </c>
      <c r="C45" s="2">
        <v>20</v>
      </c>
      <c r="D45" s="3"/>
      <c r="E45" s="16">
        <v>43</v>
      </c>
      <c r="F45" s="1" t="s">
        <v>90</v>
      </c>
      <c r="G45" s="2">
        <v>20</v>
      </c>
    </row>
    <row r="46" spans="1:7" ht="15.75" x14ac:dyDescent="0.25">
      <c r="A46" s="16">
        <v>44</v>
      </c>
      <c r="B46" s="1" t="s">
        <v>91</v>
      </c>
      <c r="C46" s="2">
        <v>20</v>
      </c>
      <c r="D46" s="3"/>
      <c r="E46" s="16">
        <v>44</v>
      </c>
      <c r="F46" s="1" t="s">
        <v>92</v>
      </c>
      <c r="G46" s="2">
        <v>20</v>
      </c>
    </row>
    <row r="47" spans="1:7" ht="15.75" x14ac:dyDescent="0.25">
      <c r="A47" s="16">
        <v>45</v>
      </c>
      <c r="B47" s="1" t="s">
        <v>93</v>
      </c>
      <c r="C47" s="2">
        <v>20</v>
      </c>
      <c r="D47" s="3"/>
      <c r="E47" s="16">
        <v>45</v>
      </c>
      <c r="F47" s="1" t="s">
        <v>94</v>
      </c>
      <c r="G47" s="2">
        <v>10</v>
      </c>
    </row>
    <row r="48" spans="1:7" ht="15.75" x14ac:dyDescent="0.25">
      <c r="A48" s="16">
        <v>46</v>
      </c>
      <c r="B48" s="1" t="s">
        <v>95</v>
      </c>
      <c r="C48" s="2">
        <v>20</v>
      </c>
      <c r="D48" s="3"/>
      <c r="E48" s="16">
        <v>46</v>
      </c>
      <c r="F48" s="1" t="s">
        <v>96</v>
      </c>
      <c r="G48" s="2">
        <v>10</v>
      </c>
    </row>
    <row r="49" spans="1:7" ht="15.75" x14ac:dyDescent="0.25">
      <c r="A49" s="16">
        <v>47</v>
      </c>
      <c r="B49" s="1" t="s">
        <v>97</v>
      </c>
      <c r="C49" s="2">
        <v>20</v>
      </c>
      <c r="D49" s="3"/>
      <c r="E49" s="16">
        <v>47</v>
      </c>
      <c r="F49" s="1" t="s">
        <v>98</v>
      </c>
      <c r="G49" s="2">
        <v>10</v>
      </c>
    </row>
    <row r="50" spans="1:7" ht="15.75" x14ac:dyDescent="0.25">
      <c r="A50" s="16">
        <v>48</v>
      </c>
      <c r="B50" s="1" t="s">
        <v>99</v>
      </c>
      <c r="C50" s="2">
        <v>20</v>
      </c>
      <c r="D50" s="3"/>
      <c r="E50" s="16">
        <v>48</v>
      </c>
      <c r="F50" s="1" t="s">
        <v>100</v>
      </c>
      <c r="G50" s="2">
        <v>10</v>
      </c>
    </row>
    <row r="51" spans="1:7" ht="15.75" x14ac:dyDescent="0.25">
      <c r="A51" s="16">
        <v>49</v>
      </c>
      <c r="B51" s="1" t="s">
        <v>101</v>
      </c>
      <c r="C51" s="2">
        <v>20</v>
      </c>
      <c r="D51" s="3"/>
      <c r="E51" s="16">
        <v>49</v>
      </c>
      <c r="F51" s="1" t="s">
        <v>102</v>
      </c>
      <c r="G51" s="2">
        <v>20</v>
      </c>
    </row>
    <row r="52" spans="1:7" ht="15.75" x14ac:dyDescent="0.25">
      <c r="A52" s="16">
        <v>50</v>
      </c>
      <c r="B52" s="1" t="s">
        <v>103</v>
      </c>
      <c r="C52" s="2">
        <v>20</v>
      </c>
      <c r="D52" s="3"/>
      <c r="E52" s="16">
        <v>50</v>
      </c>
      <c r="F52" s="1" t="s">
        <v>104</v>
      </c>
      <c r="G52" s="2">
        <v>20</v>
      </c>
    </row>
    <row r="53" spans="1:7" ht="15.75" x14ac:dyDescent="0.25">
      <c r="A53" s="16">
        <v>51</v>
      </c>
      <c r="B53" s="1" t="s">
        <v>105</v>
      </c>
      <c r="C53" s="2">
        <v>30</v>
      </c>
      <c r="D53" s="3"/>
      <c r="E53" s="16">
        <v>51</v>
      </c>
      <c r="F53" s="1" t="s">
        <v>106</v>
      </c>
      <c r="G53" s="2">
        <v>10</v>
      </c>
    </row>
    <row r="54" spans="1:7" ht="15.75" x14ac:dyDescent="0.25">
      <c r="A54" s="16">
        <v>52</v>
      </c>
      <c r="B54" s="1" t="s">
        <v>107</v>
      </c>
      <c r="C54" s="2">
        <v>30</v>
      </c>
      <c r="D54" s="3"/>
      <c r="E54" s="16">
        <v>52</v>
      </c>
      <c r="F54" s="1" t="s">
        <v>108</v>
      </c>
      <c r="G54" s="2">
        <v>10</v>
      </c>
    </row>
    <row r="55" spans="1:7" ht="15.75" x14ac:dyDescent="0.25">
      <c r="A55" s="16">
        <v>53</v>
      </c>
      <c r="B55" s="1" t="s">
        <v>109</v>
      </c>
      <c r="C55" s="2">
        <v>20</v>
      </c>
      <c r="D55" s="3"/>
      <c r="E55" s="16">
        <v>53</v>
      </c>
      <c r="F55" s="1" t="s">
        <v>110</v>
      </c>
      <c r="G55" s="2">
        <v>10</v>
      </c>
    </row>
    <row r="56" spans="1:7" ht="15.75" x14ac:dyDescent="0.25">
      <c r="A56" s="16">
        <v>54</v>
      </c>
      <c r="B56" s="1" t="s">
        <v>111</v>
      </c>
      <c r="C56" s="2">
        <v>20</v>
      </c>
      <c r="D56" s="3"/>
      <c r="E56" s="16">
        <v>54</v>
      </c>
      <c r="F56" s="1" t="s">
        <v>112</v>
      </c>
      <c r="G56" s="2">
        <v>10</v>
      </c>
    </row>
    <row r="57" spans="1:7" ht="15.75" x14ac:dyDescent="0.25">
      <c r="A57" s="16">
        <v>55</v>
      </c>
      <c r="B57" s="1" t="s">
        <v>113</v>
      </c>
      <c r="C57" s="2">
        <v>20</v>
      </c>
      <c r="D57" s="3"/>
      <c r="E57" s="16">
        <v>55</v>
      </c>
      <c r="F57" s="1" t="s">
        <v>114</v>
      </c>
      <c r="G57" s="2">
        <v>20</v>
      </c>
    </row>
    <row r="58" spans="1:7" ht="15.75" x14ac:dyDescent="0.25">
      <c r="A58" s="16">
        <v>56</v>
      </c>
      <c r="B58" s="1" t="s">
        <v>115</v>
      </c>
      <c r="C58" s="2">
        <v>20</v>
      </c>
      <c r="D58" s="3"/>
      <c r="E58" s="16">
        <v>56</v>
      </c>
      <c r="F58" s="1" t="s">
        <v>116</v>
      </c>
      <c r="G58" s="2">
        <v>10</v>
      </c>
    </row>
    <row r="59" spans="1:7" ht="15.75" x14ac:dyDescent="0.25">
      <c r="A59" s="16">
        <v>57</v>
      </c>
      <c r="B59" s="6" t="s">
        <v>117</v>
      </c>
      <c r="C59" s="7">
        <v>20</v>
      </c>
      <c r="D59" s="8"/>
      <c r="E59" s="16">
        <v>57</v>
      </c>
      <c r="F59" s="1" t="s">
        <v>118</v>
      </c>
      <c r="G59" s="2">
        <v>10</v>
      </c>
    </row>
    <row r="60" spans="1:7" ht="15.75" x14ac:dyDescent="0.25">
      <c r="A60" s="16">
        <v>58</v>
      </c>
      <c r="B60" s="6" t="s">
        <v>119</v>
      </c>
      <c r="C60" s="7">
        <v>20</v>
      </c>
      <c r="D60" s="8"/>
      <c r="E60" s="16">
        <v>58</v>
      </c>
      <c r="F60" s="1" t="s">
        <v>120</v>
      </c>
      <c r="G60" s="2">
        <v>10</v>
      </c>
    </row>
    <row r="61" spans="1:7" ht="15.75" x14ac:dyDescent="0.25">
      <c r="A61" s="16">
        <v>59</v>
      </c>
      <c r="B61" s="4" t="s">
        <v>121</v>
      </c>
      <c r="C61" s="5">
        <v>50</v>
      </c>
      <c r="D61" s="9"/>
      <c r="E61" s="16">
        <v>59</v>
      </c>
      <c r="F61" s="1" t="s">
        <v>122</v>
      </c>
      <c r="G61" s="2">
        <v>5</v>
      </c>
    </row>
    <row r="62" spans="1:7" ht="15.75" x14ac:dyDescent="0.25">
      <c r="A62" s="16">
        <v>60</v>
      </c>
      <c r="B62" s="4" t="s">
        <v>123</v>
      </c>
      <c r="C62" s="5">
        <v>20</v>
      </c>
      <c r="D62" s="9"/>
      <c r="E62" s="16">
        <v>60</v>
      </c>
      <c r="F62" s="1" t="s">
        <v>124</v>
      </c>
      <c r="G62" s="2">
        <v>5</v>
      </c>
    </row>
    <row r="63" spans="1:7" ht="15.75" x14ac:dyDescent="0.25">
      <c r="A63" s="16">
        <v>61</v>
      </c>
      <c r="B63" s="4" t="s">
        <v>125</v>
      </c>
      <c r="C63" s="5">
        <v>50</v>
      </c>
      <c r="D63" s="9"/>
      <c r="E63" s="16">
        <v>61</v>
      </c>
      <c r="F63" s="1" t="s">
        <v>126</v>
      </c>
      <c r="G63" s="2">
        <v>10</v>
      </c>
    </row>
    <row r="64" spans="1:7" ht="15.75" x14ac:dyDescent="0.25">
      <c r="A64" s="16">
        <v>62</v>
      </c>
      <c r="B64" s="4" t="s">
        <v>127</v>
      </c>
      <c r="C64" s="5">
        <v>20</v>
      </c>
      <c r="D64" s="9"/>
      <c r="E64" s="16">
        <v>62</v>
      </c>
      <c r="F64" s="1" t="s">
        <v>128</v>
      </c>
      <c r="G64" s="2">
        <v>10</v>
      </c>
    </row>
    <row r="65" spans="1:7" ht="15.75" x14ac:dyDescent="0.25">
      <c r="A65" s="16">
        <v>63</v>
      </c>
      <c r="B65" s="4" t="s">
        <v>129</v>
      </c>
      <c r="C65" s="5">
        <v>20</v>
      </c>
      <c r="D65" s="9"/>
      <c r="E65" s="16">
        <v>63</v>
      </c>
      <c r="F65" s="1" t="s">
        <v>130</v>
      </c>
      <c r="G65" s="2">
        <v>5</v>
      </c>
    </row>
    <row r="66" spans="1:7" ht="15.75" x14ac:dyDescent="0.25">
      <c r="A66" s="16">
        <v>64</v>
      </c>
      <c r="B66" s="4" t="s">
        <v>131</v>
      </c>
      <c r="C66" s="5">
        <v>20</v>
      </c>
      <c r="D66" s="9"/>
      <c r="E66" s="16">
        <v>64</v>
      </c>
      <c r="F66" s="1" t="s">
        <v>132</v>
      </c>
      <c r="G66" s="2">
        <v>5</v>
      </c>
    </row>
    <row r="67" spans="1:7" ht="15.75" x14ac:dyDescent="0.25">
      <c r="A67" s="16">
        <v>65</v>
      </c>
      <c r="B67" s="10" t="s">
        <v>133</v>
      </c>
      <c r="C67" s="11">
        <v>50</v>
      </c>
      <c r="D67" s="12"/>
      <c r="E67" s="16">
        <v>65</v>
      </c>
      <c r="F67" s="1" t="s">
        <v>134</v>
      </c>
      <c r="G67" s="2">
        <v>5</v>
      </c>
    </row>
    <row r="68" spans="1:7" ht="15.75" x14ac:dyDescent="0.25">
      <c r="A68" s="16">
        <v>66</v>
      </c>
      <c r="B68" s="10" t="s">
        <v>135</v>
      </c>
      <c r="C68" s="11">
        <v>50</v>
      </c>
      <c r="D68" s="12"/>
      <c r="E68" s="16">
        <v>66</v>
      </c>
      <c r="F68" s="1" t="s">
        <v>136</v>
      </c>
      <c r="G68" s="2">
        <v>5</v>
      </c>
    </row>
    <row r="69" spans="1:7" ht="15.75" x14ac:dyDescent="0.25">
      <c r="A69" s="16">
        <v>67</v>
      </c>
      <c r="B69" s="10" t="s">
        <v>137</v>
      </c>
      <c r="C69" s="11">
        <v>30</v>
      </c>
      <c r="D69" s="12"/>
      <c r="E69" s="16">
        <v>67</v>
      </c>
      <c r="F69" s="1" t="s">
        <v>138</v>
      </c>
      <c r="G69" s="2">
        <v>5</v>
      </c>
    </row>
    <row r="70" spans="1:7" ht="15.75" x14ac:dyDescent="0.25">
      <c r="A70" s="16">
        <v>68</v>
      </c>
      <c r="B70" s="10" t="s">
        <v>139</v>
      </c>
      <c r="C70" s="11">
        <v>30</v>
      </c>
      <c r="D70" s="12"/>
      <c r="E70" s="16">
        <v>68</v>
      </c>
      <c r="F70" s="1" t="s">
        <v>140</v>
      </c>
      <c r="G70" s="2">
        <v>5</v>
      </c>
    </row>
    <row r="71" spans="1:7" ht="15.75" x14ac:dyDescent="0.25">
      <c r="A71" s="16">
        <v>69</v>
      </c>
      <c r="B71" s="10" t="s">
        <v>141</v>
      </c>
      <c r="C71" s="11">
        <v>10</v>
      </c>
      <c r="D71" s="12"/>
      <c r="E71" s="16">
        <v>69</v>
      </c>
      <c r="F71" s="1" t="s">
        <v>142</v>
      </c>
      <c r="G71" s="2">
        <v>5</v>
      </c>
    </row>
    <row r="72" spans="1:7" ht="15.75" x14ac:dyDescent="0.25">
      <c r="A72" s="16">
        <v>70</v>
      </c>
      <c r="B72" s="10" t="s">
        <v>143</v>
      </c>
      <c r="C72" s="11">
        <v>10</v>
      </c>
      <c r="D72" s="12"/>
      <c r="E72" s="16">
        <v>70</v>
      </c>
      <c r="F72" s="1" t="s">
        <v>144</v>
      </c>
      <c r="G72" s="2">
        <v>5</v>
      </c>
    </row>
    <row r="73" spans="1:7" ht="15.75" x14ac:dyDescent="0.25">
      <c r="A73" s="16">
        <v>71</v>
      </c>
      <c r="B73" s="10" t="s">
        <v>145</v>
      </c>
      <c r="C73" s="11">
        <v>10</v>
      </c>
      <c r="D73" s="12"/>
      <c r="E73" s="16">
        <v>71</v>
      </c>
      <c r="F73" s="1" t="s">
        <v>146</v>
      </c>
      <c r="G73" s="2">
        <v>5</v>
      </c>
    </row>
    <row r="74" spans="1:7" ht="15.75" x14ac:dyDescent="0.25">
      <c r="A74" s="16">
        <v>72</v>
      </c>
      <c r="B74" s="10" t="s">
        <v>147</v>
      </c>
      <c r="C74" s="11">
        <v>10</v>
      </c>
      <c r="D74" s="12"/>
      <c r="E74" s="16">
        <v>72</v>
      </c>
      <c r="F74" s="1" t="s">
        <v>148</v>
      </c>
      <c r="G74" s="2">
        <v>5</v>
      </c>
    </row>
    <row r="75" spans="1:7" ht="15.75" x14ac:dyDescent="0.25">
      <c r="A75" s="16">
        <v>73</v>
      </c>
      <c r="B75" s="10" t="s">
        <v>149</v>
      </c>
      <c r="C75" s="11">
        <v>10</v>
      </c>
      <c r="D75" s="12"/>
      <c r="E75" s="16">
        <v>73</v>
      </c>
      <c r="F75" s="1" t="s">
        <v>150</v>
      </c>
      <c r="G75" s="2">
        <v>30</v>
      </c>
    </row>
    <row r="76" spans="1:7" ht="15.75" x14ac:dyDescent="0.25">
      <c r="A76" s="16">
        <v>74</v>
      </c>
      <c r="B76" s="10" t="s">
        <v>151</v>
      </c>
      <c r="C76" s="11">
        <v>10</v>
      </c>
      <c r="D76" s="12"/>
      <c r="E76" s="16">
        <v>74</v>
      </c>
      <c r="F76" s="1" t="s">
        <v>152</v>
      </c>
      <c r="G76" s="2">
        <v>30</v>
      </c>
    </row>
    <row r="77" spans="1:7" ht="15.75" x14ac:dyDescent="0.25">
      <c r="A77" s="16">
        <v>75</v>
      </c>
      <c r="B77" s="10" t="s">
        <v>153</v>
      </c>
      <c r="C77" s="11">
        <v>30</v>
      </c>
      <c r="D77" s="12"/>
      <c r="E77" s="16">
        <v>75</v>
      </c>
      <c r="F77" s="1" t="s">
        <v>154</v>
      </c>
      <c r="G77" s="2">
        <v>20</v>
      </c>
    </row>
    <row r="78" spans="1:7" ht="15.75" x14ac:dyDescent="0.25">
      <c r="A78" s="16">
        <v>76</v>
      </c>
      <c r="B78" s="10" t="s">
        <v>155</v>
      </c>
      <c r="C78" s="11">
        <v>30</v>
      </c>
      <c r="D78" s="12"/>
      <c r="E78" s="16">
        <v>76</v>
      </c>
      <c r="F78" s="1" t="s">
        <v>156</v>
      </c>
      <c r="G78" s="2">
        <v>20</v>
      </c>
    </row>
    <row r="79" spans="1:7" ht="15.75" x14ac:dyDescent="0.25">
      <c r="A79" s="16">
        <v>77</v>
      </c>
      <c r="B79" s="10" t="s">
        <v>157</v>
      </c>
      <c r="C79" s="11">
        <v>10</v>
      </c>
      <c r="D79" s="12"/>
      <c r="E79" s="16">
        <v>77</v>
      </c>
      <c r="F79" s="1" t="s">
        <v>158</v>
      </c>
      <c r="G79" s="2">
        <v>10</v>
      </c>
    </row>
    <row r="80" spans="1:7" ht="15.75" x14ac:dyDescent="0.25">
      <c r="A80" s="16">
        <v>78</v>
      </c>
      <c r="B80" s="10" t="s">
        <v>159</v>
      </c>
      <c r="C80" s="11">
        <v>10</v>
      </c>
      <c r="D80" s="12"/>
      <c r="E80" s="16">
        <v>78</v>
      </c>
      <c r="F80" s="1" t="s">
        <v>160</v>
      </c>
      <c r="G80" s="2">
        <v>10</v>
      </c>
    </row>
    <row r="81" spans="1:7" ht="15.75" x14ac:dyDescent="0.25">
      <c r="A81" s="16">
        <v>79</v>
      </c>
      <c r="B81" s="10" t="s">
        <v>161</v>
      </c>
      <c r="C81" s="11">
        <v>10</v>
      </c>
      <c r="D81" s="12"/>
      <c r="E81" s="16">
        <v>79</v>
      </c>
      <c r="F81" s="1" t="s">
        <v>162</v>
      </c>
      <c r="G81" s="2">
        <v>5</v>
      </c>
    </row>
    <row r="82" spans="1:7" ht="15.75" x14ac:dyDescent="0.25">
      <c r="A82" s="16">
        <v>80</v>
      </c>
      <c r="B82" s="10" t="s">
        <v>163</v>
      </c>
      <c r="C82" s="11">
        <v>10</v>
      </c>
      <c r="D82" s="12"/>
      <c r="E82" s="16">
        <v>80</v>
      </c>
      <c r="F82" s="1" t="s">
        <v>164</v>
      </c>
      <c r="G82" s="2">
        <v>5</v>
      </c>
    </row>
    <row r="83" spans="1:7" ht="15.75" x14ac:dyDescent="0.25">
      <c r="A83" s="16">
        <v>81</v>
      </c>
      <c r="B83" s="10" t="s">
        <v>165</v>
      </c>
      <c r="C83" s="11">
        <v>10</v>
      </c>
      <c r="D83" s="12"/>
      <c r="E83" s="16">
        <v>81</v>
      </c>
      <c r="F83" s="1" t="s">
        <v>166</v>
      </c>
      <c r="G83" s="2">
        <v>5</v>
      </c>
    </row>
    <row r="84" spans="1:7" ht="15.75" x14ac:dyDescent="0.25">
      <c r="A84" s="16">
        <v>82</v>
      </c>
      <c r="B84" s="10" t="s">
        <v>167</v>
      </c>
      <c r="C84" s="11">
        <v>10</v>
      </c>
      <c r="D84" s="12"/>
      <c r="E84" s="16">
        <v>82</v>
      </c>
      <c r="F84" s="1" t="s">
        <v>168</v>
      </c>
      <c r="G84" s="2">
        <v>5</v>
      </c>
    </row>
    <row r="85" spans="1:7" ht="15.75" x14ac:dyDescent="0.25">
      <c r="A85" s="16">
        <v>83</v>
      </c>
      <c r="B85" s="10" t="s">
        <v>169</v>
      </c>
      <c r="C85" s="11">
        <v>30</v>
      </c>
      <c r="D85" s="12"/>
      <c r="E85" s="16">
        <v>83</v>
      </c>
      <c r="F85" s="1" t="s">
        <v>170</v>
      </c>
      <c r="G85" s="2">
        <v>5</v>
      </c>
    </row>
    <row r="86" spans="1:7" ht="15.75" x14ac:dyDescent="0.25">
      <c r="A86" s="16">
        <v>84</v>
      </c>
      <c r="B86" s="10" t="s">
        <v>171</v>
      </c>
      <c r="C86" s="11">
        <v>30</v>
      </c>
      <c r="D86" s="12"/>
      <c r="E86" s="16">
        <v>84</v>
      </c>
      <c r="F86" s="1" t="s">
        <v>172</v>
      </c>
      <c r="G86" s="2">
        <v>5</v>
      </c>
    </row>
    <row r="87" spans="1:7" ht="15.75" x14ac:dyDescent="0.25">
      <c r="A87" s="16">
        <v>85</v>
      </c>
      <c r="B87" s="10" t="s">
        <v>173</v>
      </c>
      <c r="C87" s="11">
        <v>10</v>
      </c>
      <c r="D87" s="12"/>
      <c r="E87" s="16">
        <v>85</v>
      </c>
      <c r="F87" s="1" t="s">
        <v>174</v>
      </c>
      <c r="G87" s="2">
        <v>30</v>
      </c>
    </row>
    <row r="88" spans="1:7" ht="15.75" x14ac:dyDescent="0.25">
      <c r="A88" s="16">
        <v>86</v>
      </c>
      <c r="B88" s="10" t="s">
        <v>175</v>
      </c>
      <c r="C88" s="11">
        <v>10</v>
      </c>
      <c r="D88" s="12"/>
      <c r="E88" s="16">
        <v>86</v>
      </c>
      <c r="F88" s="1" t="s">
        <v>176</v>
      </c>
      <c r="G88" s="2">
        <v>30</v>
      </c>
    </row>
    <row r="89" spans="1:7" ht="15.75" x14ac:dyDescent="0.25">
      <c r="A89" s="16">
        <v>87</v>
      </c>
      <c r="B89" s="10" t="s">
        <v>177</v>
      </c>
      <c r="C89" s="11">
        <v>10</v>
      </c>
      <c r="D89" s="12"/>
      <c r="E89" s="16">
        <v>87</v>
      </c>
      <c r="F89" s="1" t="s">
        <v>178</v>
      </c>
      <c r="G89" s="2">
        <v>20</v>
      </c>
    </row>
    <row r="90" spans="1:7" ht="15.75" x14ac:dyDescent="0.25">
      <c r="A90" s="16">
        <v>88</v>
      </c>
      <c r="B90" s="10" t="s">
        <v>179</v>
      </c>
      <c r="C90" s="11">
        <v>10</v>
      </c>
      <c r="D90" s="12"/>
      <c r="E90" s="16">
        <v>88</v>
      </c>
      <c r="F90" s="1" t="s">
        <v>180</v>
      </c>
      <c r="G90" s="2">
        <v>20</v>
      </c>
    </row>
    <row r="91" spans="1:7" ht="15.75" x14ac:dyDescent="0.25">
      <c r="A91" s="16">
        <v>89</v>
      </c>
      <c r="B91" s="10" t="s">
        <v>181</v>
      </c>
      <c r="C91" s="11">
        <v>10</v>
      </c>
      <c r="D91" s="12"/>
      <c r="E91" s="16">
        <v>89</v>
      </c>
      <c r="F91" s="1" t="s">
        <v>182</v>
      </c>
      <c r="G91" s="2">
        <v>20</v>
      </c>
    </row>
    <row r="92" spans="1:7" ht="15.75" x14ac:dyDescent="0.25">
      <c r="A92" s="16">
        <v>90</v>
      </c>
      <c r="B92" s="10" t="s">
        <v>183</v>
      </c>
      <c r="C92" s="11">
        <v>10</v>
      </c>
      <c r="D92" s="12"/>
      <c r="E92" s="16">
        <v>90</v>
      </c>
      <c r="F92" s="1" t="s">
        <v>184</v>
      </c>
      <c r="G92" s="2">
        <v>20</v>
      </c>
    </row>
    <row r="93" spans="1:7" ht="15.75" x14ac:dyDescent="0.25">
      <c r="A93" s="16">
        <v>91</v>
      </c>
      <c r="B93" s="10" t="s">
        <v>185</v>
      </c>
      <c r="C93" s="11">
        <v>30</v>
      </c>
      <c r="D93" s="12"/>
      <c r="E93" s="16">
        <v>91</v>
      </c>
      <c r="F93" s="1" t="s">
        <v>186</v>
      </c>
      <c r="G93" s="2">
        <v>30</v>
      </c>
    </row>
    <row r="94" spans="1:7" ht="15.75" x14ac:dyDescent="0.25">
      <c r="A94" s="16">
        <v>92</v>
      </c>
      <c r="B94" s="10" t="s">
        <v>187</v>
      </c>
      <c r="C94" s="11">
        <v>30</v>
      </c>
      <c r="D94" s="12"/>
      <c r="E94" s="16">
        <v>92</v>
      </c>
      <c r="F94" s="1" t="s">
        <v>188</v>
      </c>
      <c r="G94" s="2">
        <v>30</v>
      </c>
    </row>
    <row r="95" spans="1:7" ht="15.75" x14ac:dyDescent="0.25">
      <c r="A95" s="16">
        <v>93</v>
      </c>
      <c r="B95" s="10" t="s">
        <v>189</v>
      </c>
      <c r="C95" s="11">
        <v>10</v>
      </c>
      <c r="D95" s="12"/>
      <c r="E95" s="16">
        <v>93</v>
      </c>
      <c r="F95" s="1" t="s">
        <v>190</v>
      </c>
      <c r="G95" s="2">
        <v>20</v>
      </c>
    </row>
    <row r="96" spans="1:7" ht="15.75" x14ac:dyDescent="0.25">
      <c r="A96" s="16">
        <v>94</v>
      </c>
      <c r="B96" s="10" t="s">
        <v>191</v>
      </c>
      <c r="C96" s="11">
        <v>10</v>
      </c>
      <c r="D96" s="12"/>
      <c r="E96" s="16">
        <v>94</v>
      </c>
      <c r="F96" s="1" t="s">
        <v>192</v>
      </c>
      <c r="G96" s="2">
        <v>20</v>
      </c>
    </row>
    <row r="97" spans="1:7" ht="15.75" x14ac:dyDescent="0.25">
      <c r="A97" s="16">
        <v>95</v>
      </c>
      <c r="B97" s="10" t="s">
        <v>193</v>
      </c>
      <c r="C97" s="11">
        <v>10</v>
      </c>
      <c r="D97" s="12"/>
      <c r="E97" s="16">
        <v>95</v>
      </c>
      <c r="F97" s="1" t="s">
        <v>194</v>
      </c>
      <c r="G97" s="2">
        <v>20</v>
      </c>
    </row>
    <row r="98" spans="1:7" ht="15.75" x14ac:dyDescent="0.25">
      <c r="A98" s="16">
        <v>96</v>
      </c>
      <c r="B98" s="10" t="s">
        <v>195</v>
      </c>
      <c r="C98" s="11">
        <v>10</v>
      </c>
      <c r="D98" s="12"/>
      <c r="E98" s="16">
        <v>96</v>
      </c>
      <c r="F98" s="1" t="s">
        <v>196</v>
      </c>
      <c r="G98" s="2">
        <v>20</v>
      </c>
    </row>
    <row r="99" spans="1:7" ht="15.75" x14ac:dyDescent="0.25">
      <c r="A99" s="16">
        <v>97</v>
      </c>
      <c r="B99" s="10" t="s">
        <v>197</v>
      </c>
      <c r="C99" s="11">
        <v>10</v>
      </c>
      <c r="D99" s="12"/>
      <c r="E99" s="16">
        <v>97</v>
      </c>
      <c r="F99" s="1" t="s">
        <v>198</v>
      </c>
      <c r="G99" s="2">
        <v>30</v>
      </c>
    </row>
    <row r="100" spans="1:7" ht="15.75" x14ac:dyDescent="0.25">
      <c r="A100" s="16">
        <v>98</v>
      </c>
      <c r="B100" s="10" t="s">
        <v>199</v>
      </c>
      <c r="C100" s="11">
        <v>10</v>
      </c>
      <c r="D100" s="12"/>
      <c r="E100" s="16">
        <v>98</v>
      </c>
      <c r="F100" s="1" t="s">
        <v>200</v>
      </c>
      <c r="G100" s="2">
        <v>30</v>
      </c>
    </row>
    <row r="101" spans="1:7" ht="15.75" x14ac:dyDescent="0.25">
      <c r="A101" s="16">
        <v>99</v>
      </c>
      <c r="B101" s="10" t="s">
        <v>201</v>
      </c>
      <c r="C101" s="11">
        <v>10</v>
      </c>
      <c r="D101" s="12"/>
      <c r="E101" s="16">
        <v>99</v>
      </c>
      <c r="F101" s="1" t="s">
        <v>202</v>
      </c>
      <c r="G101" s="2">
        <v>20</v>
      </c>
    </row>
    <row r="102" spans="1:7" ht="15.75" x14ac:dyDescent="0.25">
      <c r="A102" s="16">
        <v>100</v>
      </c>
      <c r="B102" s="10" t="s">
        <v>203</v>
      </c>
      <c r="C102" s="11">
        <v>10</v>
      </c>
      <c r="D102" s="12"/>
      <c r="E102" s="16">
        <v>100</v>
      </c>
      <c r="F102" s="1" t="s">
        <v>204</v>
      </c>
      <c r="G102" s="2">
        <v>20</v>
      </c>
    </row>
    <row r="103" spans="1:7" ht="15.75" x14ac:dyDescent="0.25">
      <c r="A103" s="16">
        <v>101</v>
      </c>
      <c r="B103" s="10" t="s">
        <v>205</v>
      </c>
      <c r="C103" s="11">
        <v>20</v>
      </c>
      <c r="D103" s="12"/>
      <c r="E103" s="16">
        <v>101</v>
      </c>
      <c r="F103" s="1" t="s">
        <v>206</v>
      </c>
      <c r="G103" s="2">
        <v>20</v>
      </c>
    </row>
    <row r="104" spans="1:7" ht="15.75" x14ac:dyDescent="0.25">
      <c r="A104" s="16">
        <v>102</v>
      </c>
      <c r="B104" s="10" t="s">
        <v>207</v>
      </c>
      <c r="C104" s="11">
        <v>20</v>
      </c>
      <c r="D104" s="12"/>
      <c r="E104" s="16">
        <v>102</v>
      </c>
      <c r="F104" s="1" t="s">
        <v>208</v>
      </c>
      <c r="G104" s="2">
        <v>10</v>
      </c>
    </row>
    <row r="105" spans="1:7" ht="15.75" x14ac:dyDescent="0.25">
      <c r="A105" s="16">
        <v>103</v>
      </c>
      <c r="B105" s="10" t="s">
        <v>209</v>
      </c>
      <c r="C105" s="11">
        <v>10</v>
      </c>
      <c r="D105" s="12"/>
      <c r="E105" s="16">
        <v>103</v>
      </c>
      <c r="F105" s="1" t="s">
        <v>210</v>
      </c>
      <c r="G105" s="2">
        <v>10</v>
      </c>
    </row>
    <row r="106" spans="1:7" ht="15.75" x14ac:dyDescent="0.25">
      <c r="A106" s="16">
        <v>104</v>
      </c>
      <c r="B106" s="10" t="s">
        <v>211</v>
      </c>
      <c r="C106" s="11">
        <v>10</v>
      </c>
      <c r="D106" s="12"/>
      <c r="E106" s="16">
        <v>104</v>
      </c>
      <c r="F106" s="1" t="s">
        <v>212</v>
      </c>
      <c r="G106" s="2">
        <v>10</v>
      </c>
    </row>
    <row r="107" spans="1:7" ht="15.75" x14ac:dyDescent="0.25">
      <c r="A107" s="16">
        <v>105</v>
      </c>
      <c r="B107" s="6" t="s">
        <v>213</v>
      </c>
      <c r="C107" s="7">
        <v>5</v>
      </c>
      <c r="D107" s="8"/>
      <c r="E107" s="16">
        <v>105</v>
      </c>
      <c r="F107" s="1" t="s">
        <v>214</v>
      </c>
      <c r="G107" s="2">
        <v>5</v>
      </c>
    </row>
    <row r="108" spans="1:7" ht="15.75" x14ac:dyDescent="0.25">
      <c r="A108" s="16">
        <v>106</v>
      </c>
      <c r="B108" s="6" t="s">
        <v>215</v>
      </c>
      <c r="C108" s="7">
        <v>5</v>
      </c>
      <c r="D108" s="8"/>
      <c r="E108" s="16">
        <v>106</v>
      </c>
      <c r="F108" s="1" t="s">
        <v>216</v>
      </c>
      <c r="G108" s="2">
        <v>5</v>
      </c>
    </row>
    <row r="109" spans="1:7" ht="15.75" x14ac:dyDescent="0.25">
      <c r="A109" s="16">
        <v>107</v>
      </c>
      <c r="B109" s="6" t="s">
        <v>217</v>
      </c>
      <c r="C109" s="7">
        <v>5</v>
      </c>
      <c r="D109" s="8"/>
      <c r="E109" s="16">
        <v>107</v>
      </c>
      <c r="F109" s="1" t="s">
        <v>218</v>
      </c>
      <c r="G109" s="2">
        <v>5</v>
      </c>
    </row>
    <row r="110" spans="1:7" ht="15.75" x14ac:dyDescent="0.25">
      <c r="A110" s="16">
        <v>108</v>
      </c>
      <c r="B110" s="6" t="s">
        <v>219</v>
      </c>
      <c r="C110" s="7">
        <v>5</v>
      </c>
      <c r="D110" s="8"/>
      <c r="E110" s="16">
        <v>108</v>
      </c>
      <c r="F110" s="1" t="s">
        <v>220</v>
      </c>
      <c r="G110" s="2">
        <v>5</v>
      </c>
    </row>
    <row r="111" spans="1:7" ht="15.75" x14ac:dyDescent="0.25">
      <c r="A111" s="16">
        <v>109</v>
      </c>
      <c r="B111" s="6" t="s">
        <v>221</v>
      </c>
      <c r="C111" s="7">
        <v>5</v>
      </c>
      <c r="D111" s="8"/>
      <c r="E111" s="16">
        <v>109</v>
      </c>
      <c r="F111" s="1" t="s">
        <v>222</v>
      </c>
      <c r="G111" s="2">
        <v>10</v>
      </c>
    </row>
    <row r="112" spans="1:7" ht="15.75" x14ac:dyDescent="0.25">
      <c r="A112" s="16">
        <v>110</v>
      </c>
      <c r="B112" s="6" t="s">
        <v>223</v>
      </c>
      <c r="C112" s="7">
        <v>5</v>
      </c>
      <c r="D112" s="8"/>
      <c r="E112" s="16">
        <v>110</v>
      </c>
      <c r="F112" s="1" t="s">
        <v>224</v>
      </c>
      <c r="G112" s="2">
        <v>10</v>
      </c>
    </row>
    <row r="113" spans="1:7" ht="15.75" x14ac:dyDescent="0.25">
      <c r="A113" s="16">
        <v>111</v>
      </c>
      <c r="B113" s="6" t="s">
        <v>225</v>
      </c>
      <c r="C113" s="7">
        <v>5</v>
      </c>
      <c r="D113" s="8"/>
      <c r="E113" s="16">
        <v>111</v>
      </c>
      <c r="F113" s="1" t="s">
        <v>226</v>
      </c>
      <c r="G113" s="2">
        <v>30</v>
      </c>
    </row>
    <row r="114" spans="1:7" ht="15.75" x14ac:dyDescent="0.25">
      <c r="A114" s="16">
        <v>112</v>
      </c>
      <c r="B114" s="6" t="s">
        <v>227</v>
      </c>
      <c r="C114" s="7">
        <v>5</v>
      </c>
      <c r="D114" s="8"/>
      <c r="E114" s="16">
        <v>112</v>
      </c>
      <c r="F114" s="1" t="s">
        <v>228</v>
      </c>
      <c r="G114" s="2">
        <v>30</v>
      </c>
    </row>
    <row r="115" spans="1:7" ht="15.75" x14ac:dyDescent="0.25">
      <c r="A115" s="16">
        <v>113</v>
      </c>
      <c r="B115" s="6" t="s">
        <v>229</v>
      </c>
      <c r="C115" s="7">
        <v>5</v>
      </c>
      <c r="D115" s="8"/>
      <c r="E115" s="16">
        <v>113</v>
      </c>
      <c r="F115" s="1" t="s">
        <v>230</v>
      </c>
      <c r="G115" s="2">
        <v>30</v>
      </c>
    </row>
    <row r="116" spans="1:7" ht="15.75" x14ac:dyDescent="0.25">
      <c r="A116" s="16">
        <v>114</v>
      </c>
      <c r="B116" s="6" t="s">
        <v>300</v>
      </c>
      <c r="C116" s="7">
        <v>10</v>
      </c>
      <c r="E116" s="16">
        <v>114</v>
      </c>
      <c r="F116" s="1" t="s">
        <v>231</v>
      </c>
      <c r="G116" s="2">
        <v>30</v>
      </c>
    </row>
    <row r="117" spans="1:7" ht="15.75" x14ac:dyDescent="0.25">
      <c r="A117" s="16">
        <v>115</v>
      </c>
      <c r="B117" s="6" t="s">
        <v>301</v>
      </c>
      <c r="C117" s="7">
        <v>10</v>
      </c>
      <c r="E117" s="16">
        <v>115</v>
      </c>
      <c r="F117" s="1" t="s">
        <v>232</v>
      </c>
      <c r="G117" s="2">
        <v>10</v>
      </c>
    </row>
    <row r="118" spans="1:7" ht="15.75" x14ac:dyDescent="0.25">
      <c r="A118" s="16">
        <v>116</v>
      </c>
      <c r="B118" s="6" t="s">
        <v>302</v>
      </c>
      <c r="C118" s="7">
        <v>20</v>
      </c>
      <c r="E118" s="16">
        <v>116</v>
      </c>
      <c r="F118" s="1" t="s">
        <v>233</v>
      </c>
      <c r="G118" s="2">
        <v>10</v>
      </c>
    </row>
    <row r="119" spans="1:7" ht="15.75" x14ac:dyDescent="0.25">
      <c r="A119" s="16">
        <v>117</v>
      </c>
      <c r="B119" s="6" t="s">
        <v>303</v>
      </c>
      <c r="C119" s="7">
        <v>20</v>
      </c>
      <c r="E119" s="16">
        <v>117</v>
      </c>
      <c r="F119" s="1" t="s">
        <v>234</v>
      </c>
      <c r="G119" s="2">
        <v>5</v>
      </c>
    </row>
    <row r="120" spans="1:7" ht="15.75" x14ac:dyDescent="0.25">
      <c r="A120" s="16">
        <v>118</v>
      </c>
      <c r="B120" s="6" t="s">
        <v>304</v>
      </c>
      <c r="C120" s="7">
        <v>20</v>
      </c>
      <c r="E120" s="16">
        <v>118</v>
      </c>
      <c r="F120" s="1" t="s">
        <v>235</v>
      </c>
      <c r="G120" s="2">
        <v>5</v>
      </c>
    </row>
    <row r="121" spans="1:7" ht="15.75" x14ac:dyDescent="0.25">
      <c r="A121" s="16">
        <v>119</v>
      </c>
      <c r="B121" s="6" t="s">
        <v>305</v>
      </c>
      <c r="C121" s="7">
        <v>20</v>
      </c>
      <c r="E121" s="16">
        <v>119</v>
      </c>
      <c r="F121" s="1" t="s">
        <v>236</v>
      </c>
      <c r="G121" s="2">
        <v>5</v>
      </c>
    </row>
    <row r="122" spans="1:7" ht="15.75" x14ac:dyDescent="0.25">
      <c r="A122" s="16">
        <v>120</v>
      </c>
      <c r="B122" s="6" t="s">
        <v>306</v>
      </c>
      <c r="C122" s="7">
        <v>20</v>
      </c>
      <c r="E122" s="16">
        <v>120</v>
      </c>
      <c r="F122" s="1" t="s">
        <v>237</v>
      </c>
      <c r="G122" s="2">
        <v>5</v>
      </c>
    </row>
    <row r="123" spans="1:7" ht="15.75" x14ac:dyDescent="0.25">
      <c r="A123" s="16">
        <v>121</v>
      </c>
      <c r="B123" s="6" t="s">
        <v>307</v>
      </c>
      <c r="C123" s="7">
        <v>20</v>
      </c>
      <c r="E123" s="16">
        <v>121</v>
      </c>
      <c r="F123" s="1" t="s">
        <v>238</v>
      </c>
      <c r="G123" s="2">
        <v>30</v>
      </c>
    </row>
    <row r="124" spans="1:7" ht="15.75" x14ac:dyDescent="0.25">
      <c r="A124" s="16">
        <v>122</v>
      </c>
      <c r="B124" s="6" t="s">
        <v>308</v>
      </c>
      <c r="C124" s="7">
        <v>20</v>
      </c>
      <c r="E124" s="16">
        <v>122</v>
      </c>
      <c r="F124" s="1" t="s">
        <v>239</v>
      </c>
      <c r="G124" s="2">
        <v>30</v>
      </c>
    </row>
    <row r="125" spans="1:7" ht="15.75" x14ac:dyDescent="0.25">
      <c r="A125" s="16">
        <v>123</v>
      </c>
      <c r="B125" s="6" t="s">
        <v>309</v>
      </c>
      <c r="C125" s="7">
        <v>20</v>
      </c>
      <c r="E125" s="16">
        <v>123</v>
      </c>
      <c r="F125" s="1" t="s">
        <v>240</v>
      </c>
      <c r="G125" s="2">
        <v>10</v>
      </c>
    </row>
    <row r="126" spans="1:7" ht="15.75" x14ac:dyDescent="0.25">
      <c r="A126" s="16">
        <v>124</v>
      </c>
      <c r="B126" s="6" t="s">
        <v>310</v>
      </c>
      <c r="C126" s="7">
        <v>10</v>
      </c>
      <c r="E126" s="16">
        <v>124</v>
      </c>
      <c r="F126" s="1" t="s">
        <v>241</v>
      </c>
      <c r="G126" s="2">
        <v>10</v>
      </c>
    </row>
    <row r="127" spans="1:7" ht="15.75" x14ac:dyDescent="0.25">
      <c r="A127" s="16">
        <v>125</v>
      </c>
      <c r="B127" s="6" t="s">
        <v>311</v>
      </c>
      <c r="C127" s="7">
        <v>10</v>
      </c>
      <c r="E127" s="16">
        <v>125</v>
      </c>
      <c r="F127" s="1" t="s">
        <v>242</v>
      </c>
      <c r="G127" s="2">
        <v>30</v>
      </c>
    </row>
    <row r="128" spans="1:7" ht="15.75" x14ac:dyDescent="0.25">
      <c r="A128" s="16">
        <v>126</v>
      </c>
      <c r="B128" s="6" t="s">
        <v>312</v>
      </c>
      <c r="C128" s="7">
        <v>10</v>
      </c>
      <c r="E128" s="16">
        <v>126</v>
      </c>
      <c r="F128" s="1" t="s">
        <v>243</v>
      </c>
      <c r="G128" s="2">
        <v>30</v>
      </c>
    </row>
    <row r="129" spans="1:7" ht="15.75" x14ac:dyDescent="0.25">
      <c r="A129" s="16">
        <v>127</v>
      </c>
      <c r="B129" s="6" t="s">
        <v>313</v>
      </c>
      <c r="C129" s="7">
        <v>10</v>
      </c>
      <c r="E129" s="16">
        <v>127</v>
      </c>
      <c r="F129" s="1" t="s">
        <v>244</v>
      </c>
      <c r="G129" s="2">
        <v>10</v>
      </c>
    </row>
    <row r="130" spans="1:7" ht="15.75" x14ac:dyDescent="0.25">
      <c r="A130" s="16">
        <v>128</v>
      </c>
      <c r="B130" s="6" t="s">
        <v>314</v>
      </c>
      <c r="C130" s="7">
        <v>30</v>
      </c>
      <c r="E130" s="16">
        <v>128</v>
      </c>
      <c r="F130" s="1" t="s">
        <v>245</v>
      </c>
      <c r="G130" s="2">
        <v>10</v>
      </c>
    </row>
    <row r="131" spans="1:7" ht="15.75" x14ac:dyDescent="0.25">
      <c r="A131" s="16">
        <v>129</v>
      </c>
      <c r="B131" s="6" t="s">
        <v>315</v>
      </c>
      <c r="C131" s="7">
        <v>30</v>
      </c>
      <c r="E131" s="16">
        <v>129</v>
      </c>
      <c r="F131" s="1" t="s">
        <v>246</v>
      </c>
      <c r="G131" s="2">
        <v>30</v>
      </c>
    </row>
    <row r="132" spans="1:7" ht="15.75" x14ac:dyDescent="0.25">
      <c r="A132" s="16">
        <v>130</v>
      </c>
      <c r="B132" s="6" t="s">
        <v>316</v>
      </c>
      <c r="C132" s="7">
        <v>20</v>
      </c>
      <c r="E132" s="16">
        <v>130</v>
      </c>
      <c r="F132" s="1" t="s">
        <v>247</v>
      </c>
      <c r="G132" s="2">
        <v>30</v>
      </c>
    </row>
    <row r="133" spans="1:7" ht="15.75" x14ac:dyDescent="0.25">
      <c r="A133" s="16">
        <v>131</v>
      </c>
      <c r="B133" s="6" t="s">
        <v>317</v>
      </c>
      <c r="C133" s="7">
        <v>20</v>
      </c>
      <c r="E133" s="16">
        <v>131</v>
      </c>
      <c r="F133" s="1" t="s">
        <v>248</v>
      </c>
      <c r="G133" s="2">
        <v>30</v>
      </c>
    </row>
    <row r="134" spans="1:7" ht="15.75" x14ac:dyDescent="0.25">
      <c r="A134" s="16">
        <v>132</v>
      </c>
      <c r="B134" s="6" t="s">
        <v>318</v>
      </c>
      <c r="C134" s="7">
        <v>20</v>
      </c>
      <c r="E134" s="16">
        <v>132</v>
      </c>
      <c r="F134" s="1" t="s">
        <v>249</v>
      </c>
      <c r="G134" s="2">
        <v>30</v>
      </c>
    </row>
    <row r="135" spans="1:7" ht="15.75" x14ac:dyDescent="0.25">
      <c r="A135" s="16">
        <v>133</v>
      </c>
      <c r="B135" s="6" t="s">
        <v>319</v>
      </c>
      <c r="C135" s="7">
        <v>20</v>
      </c>
      <c r="E135" s="16">
        <v>133</v>
      </c>
      <c r="F135" s="1" t="s">
        <v>250</v>
      </c>
      <c r="G135" s="2">
        <v>10</v>
      </c>
    </row>
    <row r="136" spans="1:7" ht="15.75" x14ac:dyDescent="0.25">
      <c r="A136" s="16">
        <v>134</v>
      </c>
      <c r="B136" s="6" t="s">
        <v>320</v>
      </c>
      <c r="C136" s="7">
        <v>10</v>
      </c>
      <c r="E136" s="16">
        <v>134</v>
      </c>
      <c r="F136" s="1" t="s">
        <v>251</v>
      </c>
      <c r="G136" s="2">
        <v>10</v>
      </c>
    </row>
    <row r="137" spans="1:7" ht="15.75" x14ac:dyDescent="0.25">
      <c r="A137" s="16">
        <v>135</v>
      </c>
      <c r="B137" s="6" t="s">
        <v>321</v>
      </c>
      <c r="C137" s="7">
        <v>10</v>
      </c>
      <c r="E137" s="16">
        <v>135</v>
      </c>
      <c r="F137" s="1" t="s">
        <v>252</v>
      </c>
      <c r="G137" s="2">
        <v>10</v>
      </c>
    </row>
    <row r="138" spans="1:7" ht="15.75" x14ac:dyDescent="0.25">
      <c r="A138" s="16">
        <v>136</v>
      </c>
      <c r="B138" s="6" t="s">
        <v>322</v>
      </c>
      <c r="C138" s="7">
        <v>20</v>
      </c>
      <c r="E138" s="16">
        <v>136</v>
      </c>
      <c r="F138" s="1" t="s">
        <v>253</v>
      </c>
      <c r="G138" s="2">
        <v>10</v>
      </c>
    </row>
    <row r="139" spans="1:7" ht="15.75" x14ac:dyDescent="0.25">
      <c r="A139" s="16">
        <v>137</v>
      </c>
      <c r="B139" s="6" t="s">
        <v>323</v>
      </c>
      <c r="C139" s="7">
        <v>20</v>
      </c>
      <c r="E139" s="16">
        <v>137</v>
      </c>
      <c r="F139" s="1" t="s">
        <v>254</v>
      </c>
      <c r="G139" s="2">
        <v>10</v>
      </c>
    </row>
    <row r="140" spans="1:7" ht="15.75" x14ac:dyDescent="0.25">
      <c r="A140" s="16">
        <v>138</v>
      </c>
      <c r="B140" s="6" t="s">
        <v>324</v>
      </c>
      <c r="C140" s="7">
        <v>10</v>
      </c>
      <c r="E140" s="16">
        <v>138</v>
      </c>
      <c r="F140" s="1" t="s">
        <v>255</v>
      </c>
      <c r="G140" s="2">
        <v>10</v>
      </c>
    </row>
    <row r="141" spans="1:7" ht="15.75" x14ac:dyDescent="0.25">
      <c r="A141" s="16">
        <v>139</v>
      </c>
      <c r="B141" s="6" t="s">
        <v>325</v>
      </c>
      <c r="C141" s="7">
        <v>10</v>
      </c>
      <c r="E141" s="16">
        <v>139</v>
      </c>
      <c r="F141" s="1" t="s">
        <v>256</v>
      </c>
      <c r="G141" s="2">
        <v>10</v>
      </c>
    </row>
    <row r="142" spans="1:7" ht="15.75" x14ac:dyDescent="0.25">
      <c r="A142" s="16">
        <v>140</v>
      </c>
      <c r="B142" s="6" t="s">
        <v>326</v>
      </c>
      <c r="C142" s="7">
        <v>10</v>
      </c>
      <c r="E142" s="16">
        <v>140</v>
      </c>
      <c r="F142" s="1" t="s">
        <v>257</v>
      </c>
      <c r="G142" s="2">
        <v>10</v>
      </c>
    </row>
    <row r="143" spans="1:7" ht="15.75" x14ac:dyDescent="0.25">
      <c r="A143" s="16">
        <v>141</v>
      </c>
      <c r="B143" s="6" t="s">
        <v>327</v>
      </c>
      <c r="C143" s="7">
        <v>10</v>
      </c>
      <c r="E143" s="16">
        <v>141</v>
      </c>
      <c r="F143" s="1" t="s">
        <v>258</v>
      </c>
      <c r="G143" s="2">
        <v>10</v>
      </c>
    </row>
    <row r="144" spans="1:7" ht="15.75" x14ac:dyDescent="0.25">
      <c r="A144" s="16">
        <v>142</v>
      </c>
      <c r="B144" s="6" t="s">
        <v>328</v>
      </c>
      <c r="C144" s="7">
        <v>10</v>
      </c>
      <c r="E144" s="16">
        <v>142</v>
      </c>
      <c r="F144" s="1" t="s">
        <v>259</v>
      </c>
      <c r="G144" s="2">
        <v>10</v>
      </c>
    </row>
    <row r="145" spans="1:7" ht="15.75" x14ac:dyDescent="0.25">
      <c r="A145" s="16">
        <v>143</v>
      </c>
      <c r="B145" s="6" t="s">
        <v>329</v>
      </c>
      <c r="C145" s="7">
        <v>10</v>
      </c>
      <c r="E145" s="16">
        <v>143</v>
      </c>
      <c r="F145" s="4" t="s">
        <v>260</v>
      </c>
      <c r="G145" s="5">
        <v>50</v>
      </c>
    </row>
    <row r="146" spans="1:7" ht="15.75" x14ac:dyDescent="0.25">
      <c r="A146" s="16">
        <v>144</v>
      </c>
      <c r="B146" s="6" t="s">
        <v>330</v>
      </c>
      <c r="C146" s="7">
        <v>10</v>
      </c>
      <c r="E146" s="16">
        <v>144</v>
      </c>
      <c r="F146" s="4" t="s">
        <v>261</v>
      </c>
      <c r="G146" s="5">
        <v>50</v>
      </c>
    </row>
    <row r="147" spans="1:7" ht="15.75" x14ac:dyDescent="0.25">
      <c r="A147" s="16">
        <v>145</v>
      </c>
      <c r="B147" s="6" t="s">
        <v>309</v>
      </c>
      <c r="C147" s="7">
        <v>10</v>
      </c>
      <c r="E147" s="16">
        <v>145</v>
      </c>
      <c r="F147" s="4" t="s">
        <v>262</v>
      </c>
      <c r="G147" s="5">
        <v>20</v>
      </c>
    </row>
    <row r="148" spans="1:7" ht="15.75" x14ac:dyDescent="0.25">
      <c r="A148" s="16">
        <v>146</v>
      </c>
      <c r="B148" s="6" t="s">
        <v>331</v>
      </c>
      <c r="C148" s="7">
        <v>10</v>
      </c>
      <c r="E148" s="16">
        <v>146</v>
      </c>
      <c r="F148" s="4" t="s">
        <v>263</v>
      </c>
      <c r="G148" s="5">
        <v>20</v>
      </c>
    </row>
    <row r="149" spans="1:7" ht="15.75" x14ac:dyDescent="0.25">
      <c r="A149" s="16">
        <v>147</v>
      </c>
      <c r="B149" s="6" t="s">
        <v>332</v>
      </c>
      <c r="C149" s="7">
        <v>10</v>
      </c>
      <c r="E149" s="16">
        <v>147</v>
      </c>
      <c r="F149" s="4" t="s">
        <v>264</v>
      </c>
      <c r="G149" s="5">
        <v>50</v>
      </c>
    </row>
    <row r="150" spans="1:7" ht="15.75" x14ac:dyDescent="0.25">
      <c r="A150" s="16">
        <v>148</v>
      </c>
      <c r="B150" s="6" t="s">
        <v>333</v>
      </c>
      <c r="C150" s="7">
        <v>10</v>
      </c>
      <c r="E150" s="16">
        <v>148</v>
      </c>
      <c r="F150" s="4" t="s">
        <v>265</v>
      </c>
      <c r="G150" s="5">
        <v>50</v>
      </c>
    </row>
    <row r="151" spans="1:7" ht="15.75" x14ac:dyDescent="0.25">
      <c r="A151" s="16">
        <v>149</v>
      </c>
      <c r="B151" s="6" t="s">
        <v>334</v>
      </c>
      <c r="C151" s="7">
        <v>10</v>
      </c>
      <c r="E151" s="16">
        <v>149</v>
      </c>
      <c r="F151" s="4" t="s">
        <v>266</v>
      </c>
      <c r="G151" s="5">
        <v>50</v>
      </c>
    </row>
    <row r="152" spans="1:7" ht="15.75" x14ac:dyDescent="0.25">
      <c r="A152" s="16">
        <v>150</v>
      </c>
      <c r="B152" s="6" t="s">
        <v>335</v>
      </c>
      <c r="C152" s="7">
        <v>10</v>
      </c>
      <c r="E152" s="16">
        <v>150</v>
      </c>
      <c r="F152" s="4" t="s">
        <v>267</v>
      </c>
      <c r="G152" s="5">
        <v>50</v>
      </c>
    </row>
    <row r="153" spans="1:7" ht="15.75" x14ac:dyDescent="0.25">
      <c r="A153" s="16">
        <v>151</v>
      </c>
      <c r="B153" s="6" t="s">
        <v>336</v>
      </c>
      <c r="C153" s="7">
        <v>10</v>
      </c>
      <c r="E153" s="16">
        <v>151</v>
      </c>
      <c r="F153" s="4" t="s">
        <v>268</v>
      </c>
      <c r="G153" s="5">
        <v>50</v>
      </c>
    </row>
    <row r="154" spans="1:7" ht="15.75" x14ac:dyDescent="0.25">
      <c r="A154" s="16">
        <v>152</v>
      </c>
      <c r="B154" s="6" t="s">
        <v>337</v>
      </c>
      <c r="C154" s="7">
        <v>10</v>
      </c>
      <c r="E154" s="16">
        <v>152</v>
      </c>
      <c r="F154" s="4" t="s">
        <v>269</v>
      </c>
      <c r="G154" s="5">
        <v>20</v>
      </c>
    </row>
    <row r="155" spans="1:7" ht="15.75" x14ac:dyDescent="0.25">
      <c r="A155" s="16">
        <v>153</v>
      </c>
      <c r="B155" s="6" t="s">
        <v>338</v>
      </c>
      <c r="C155" s="7">
        <v>10</v>
      </c>
      <c r="E155" s="16">
        <v>153</v>
      </c>
      <c r="F155" s="4" t="s">
        <v>270</v>
      </c>
      <c r="G155" s="5">
        <v>20</v>
      </c>
    </row>
    <row r="156" spans="1:7" ht="15.75" x14ac:dyDescent="0.25">
      <c r="A156" s="16">
        <v>154</v>
      </c>
      <c r="B156" s="6" t="s">
        <v>339</v>
      </c>
      <c r="C156" s="7">
        <v>10</v>
      </c>
      <c r="E156" s="16">
        <v>154</v>
      </c>
      <c r="F156" s="4" t="s">
        <v>271</v>
      </c>
      <c r="G156" s="5">
        <v>20</v>
      </c>
    </row>
    <row r="157" spans="1:7" ht="15.75" x14ac:dyDescent="0.25">
      <c r="A157" s="16">
        <v>155</v>
      </c>
      <c r="B157" s="6" t="s">
        <v>340</v>
      </c>
      <c r="C157" s="7">
        <v>10</v>
      </c>
      <c r="E157" s="16">
        <v>155</v>
      </c>
      <c r="F157" s="4" t="s">
        <v>272</v>
      </c>
      <c r="G157" s="5">
        <v>10</v>
      </c>
    </row>
    <row r="158" spans="1:7" ht="15.75" x14ac:dyDescent="0.25">
      <c r="A158" s="16">
        <v>156</v>
      </c>
      <c r="B158" s="6" t="s">
        <v>341</v>
      </c>
      <c r="C158" s="7">
        <v>10</v>
      </c>
      <c r="E158" s="16">
        <v>156</v>
      </c>
      <c r="F158" s="4" t="s">
        <v>273</v>
      </c>
      <c r="G158" s="5">
        <v>20</v>
      </c>
    </row>
    <row r="159" spans="1:7" ht="15.75" x14ac:dyDescent="0.25">
      <c r="A159" s="16">
        <v>157</v>
      </c>
      <c r="B159" s="6" t="s">
        <v>342</v>
      </c>
      <c r="C159" s="7">
        <v>10</v>
      </c>
      <c r="E159" s="16">
        <v>157</v>
      </c>
      <c r="F159" s="4" t="s">
        <v>274</v>
      </c>
      <c r="G159" s="5">
        <v>10</v>
      </c>
    </row>
    <row r="160" spans="1:7" ht="15.75" x14ac:dyDescent="0.25">
      <c r="A160" s="16">
        <v>158</v>
      </c>
      <c r="B160" s="6" t="s">
        <v>343</v>
      </c>
      <c r="C160" s="7">
        <v>10</v>
      </c>
      <c r="E160" s="16">
        <v>158</v>
      </c>
      <c r="F160" s="4" t="s">
        <v>275</v>
      </c>
      <c r="G160" s="5">
        <v>10</v>
      </c>
    </row>
    <row r="161" spans="1:7" ht="15.75" x14ac:dyDescent="0.25">
      <c r="A161" s="16">
        <v>159</v>
      </c>
      <c r="B161" s="6" t="s">
        <v>344</v>
      </c>
      <c r="C161" s="7">
        <v>10</v>
      </c>
      <c r="E161" s="16">
        <v>159</v>
      </c>
      <c r="F161" s="10" t="s">
        <v>276</v>
      </c>
      <c r="G161" s="11">
        <v>20</v>
      </c>
    </row>
    <row r="162" spans="1:7" ht="15.75" x14ac:dyDescent="0.25">
      <c r="A162" s="16">
        <v>160</v>
      </c>
      <c r="B162" s="6" t="s">
        <v>345</v>
      </c>
      <c r="C162" s="7">
        <v>10</v>
      </c>
      <c r="E162" s="16">
        <v>160</v>
      </c>
      <c r="F162" s="10" t="s">
        <v>277</v>
      </c>
      <c r="G162" s="11">
        <v>20</v>
      </c>
    </row>
    <row r="163" spans="1:7" ht="15.75" x14ac:dyDescent="0.25">
      <c r="A163" s="16">
        <v>161</v>
      </c>
      <c r="B163" s="6" t="s">
        <v>346</v>
      </c>
      <c r="C163" s="7">
        <v>10</v>
      </c>
      <c r="E163" s="16">
        <v>161</v>
      </c>
      <c r="F163" s="10" t="s">
        <v>278</v>
      </c>
      <c r="G163" s="11">
        <v>10</v>
      </c>
    </row>
    <row r="164" spans="1:7" ht="15.75" x14ac:dyDescent="0.25">
      <c r="A164" s="16">
        <v>162</v>
      </c>
      <c r="B164" s="6" t="s">
        <v>347</v>
      </c>
      <c r="C164" s="7">
        <v>10</v>
      </c>
      <c r="E164" s="16">
        <v>162</v>
      </c>
      <c r="F164" s="10" t="s">
        <v>279</v>
      </c>
      <c r="G164" s="11">
        <v>10</v>
      </c>
    </row>
    <row r="165" spans="1:7" ht="15.75" x14ac:dyDescent="0.25">
      <c r="A165" s="16">
        <v>163</v>
      </c>
      <c r="B165" s="6" t="s">
        <v>348</v>
      </c>
      <c r="C165" s="7">
        <v>10</v>
      </c>
      <c r="E165" s="16">
        <v>163</v>
      </c>
      <c r="F165" s="10" t="s">
        <v>280</v>
      </c>
      <c r="G165" s="11">
        <v>5</v>
      </c>
    </row>
    <row r="166" spans="1:7" ht="15.75" x14ac:dyDescent="0.25">
      <c r="A166" s="16">
        <v>164</v>
      </c>
      <c r="B166" s="6" t="s">
        <v>349</v>
      </c>
      <c r="C166" s="7">
        <v>10</v>
      </c>
      <c r="E166" s="16">
        <v>164</v>
      </c>
      <c r="F166" s="10" t="s">
        <v>281</v>
      </c>
      <c r="G166" s="11">
        <v>5</v>
      </c>
    </row>
    <row r="167" spans="1:7" ht="15.75" x14ac:dyDescent="0.25">
      <c r="A167" s="16">
        <v>165</v>
      </c>
      <c r="B167" s="6" t="s">
        <v>350</v>
      </c>
      <c r="C167" s="7">
        <v>10</v>
      </c>
      <c r="E167" s="16">
        <v>165</v>
      </c>
      <c r="F167" s="10" t="s">
        <v>282</v>
      </c>
      <c r="G167" s="11">
        <v>10</v>
      </c>
    </row>
    <row r="168" spans="1:7" ht="15.75" x14ac:dyDescent="0.25">
      <c r="A168" s="16">
        <v>166</v>
      </c>
      <c r="B168" s="6" t="s">
        <v>351</v>
      </c>
      <c r="C168" s="7">
        <v>10</v>
      </c>
      <c r="E168" s="16">
        <v>166</v>
      </c>
      <c r="F168" s="10" t="s">
        <v>283</v>
      </c>
      <c r="G168" s="11">
        <v>10</v>
      </c>
    </row>
    <row r="169" spans="1:7" ht="15.75" x14ac:dyDescent="0.25">
      <c r="A169" s="16">
        <v>167</v>
      </c>
      <c r="B169" s="6" t="s">
        <v>352</v>
      </c>
      <c r="C169" s="7">
        <v>10</v>
      </c>
      <c r="E169" s="16">
        <v>167</v>
      </c>
      <c r="F169" s="10" t="s">
        <v>284</v>
      </c>
      <c r="G169" s="11">
        <v>10</v>
      </c>
    </row>
    <row r="170" spans="1:7" ht="15.75" x14ac:dyDescent="0.25">
      <c r="A170" s="16">
        <v>168</v>
      </c>
      <c r="B170" s="6" t="s">
        <v>353</v>
      </c>
      <c r="C170" s="7">
        <v>10</v>
      </c>
      <c r="E170" s="16">
        <v>168</v>
      </c>
      <c r="F170" s="10" t="s">
        <v>285</v>
      </c>
      <c r="G170" s="11">
        <v>10</v>
      </c>
    </row>
    <row r="171" spans="1:7" ht="15.75" x14ac:dyDescent="0.25">
      <c r="A171" s="16">
        <v>169</v>
      </c>
      <c r="B171" s="6" t="s">
        <v>354</v>
      </c>
      <c r="C171" s="7">
        <v>10</v>
      </c>
      <c r="E171" s="16">
        <v>169</v>
      </c>
      <c r="F171" s="10" t="s">
        <v>286</v>
      </c>
      <c r="G171" s="11">
        <v>5</v>
      </c>
    </row>
    <row r="172" spans="1:7" ht="15.75" x14ac:dyDescent="0.25">
      <c r="A172" s="16">
        <v>170</v>
      </c>
      <c r="B172" s="6" t="s">
        <v>355</v>
      </c>
      <c r="C172" s="7">
        <v>10</v>
      </c>
      <c r="E172" s="16">
        <v>170</v>
      </c>
      <c r="F172" s="10" t="s">
        <v>287</v>
      </c>
      <c r="G172" s="11">
        <v>5</v>
      </c>
    </row>
    <row r="173" spans="1:7" ht="15.75" x14ac:dyDescent="0.25">
      <c r="A173" s="16">
        <v>171</v>
      </c>
      <c r="B173" s="6" t="s">
        <v>356</v>
      </c>
      <c r="C173" s="7">
        <v>10</v>
      </c>
      <c r="E173" s="16">
        <v>171</v>
      </c>
      <c r="F173" s="10" t="s">
        <v>288</v>
      </c>
      <c r="G173" s="11">
        <v>5</v>
      </c>
    </row>
    <row r="174" spans="1:7" ht="15.75" x14ac:dyDescent="0.25">
      <c r="A174" s="16">
        <v>172</v>
      </c>
      <c r="B174" s="6" t="s">
        <v>357</v>
      </c>
      <c r="C174" s="7">
        <v>10</v>
      </c>
      <c r="E174" s="16">
        <v>172</v>
      </c>
      <c r="F174" s="10" t="s">
        <v>289</v>
      </c>
      <c r="G174" s="11">
        <v>5</v>
      </c>
    </row>
    <row r="175" spans="1:7" ht="15.75" x14ac:dyDescent="0.25">
      <c r="A175" s="16">
        <v>173</v>
      </c>
      <c r="B175" s="6" t="s">
        <v>358</v>
      </c>
      <c r="C175" s="7">
        <v>10</v>
      </c>
      <c r="E175" s="16">
        <v>173</v>
      </c>
      <c r="F175" s="10" t="s">
        <v>290</v>
      </c>
      <c r="G175" s="11">
        <v>5</v>
      </c>
    </row>
    <row r="176" spans="1:7" ht="15.75" x14ac:dyDescent="0.25">
      <c r="A176" s="16">
        <v>174</v>
      </c>
      <c r="B176" s="6" t="s">
        <v>359</v>
      </c>
      <c r="C176" s="7">
        <v>10</v>
      </c>
      <c r="E176" s="16">
        <v>174</v>
      </c>
      <c r="F176" s="10" t="s">
        <v>291</v>
      </c>
      <c r="G176" s="11">
        <v>5</v>
      </c>
    </row>
    <row r="177" spans="1:7" ht="15.75" x14ac:dyDescent="0.25">
      <c r="A177" s="16">
        <v>175</v>
      </c>
      <c r="B177" s="6" t="s">
        <v>360</v>
      </c>
      <c r="C177" s="7">
        <v>10</v>
      </c>
      <c r="E177" s="16">
        <v>175</v>
      </c>
      <c r="F177" s="10" t="s">
        <v>292</v>
      </c>
      <c r="G177" s="11">
        <v>10</v>
      </c>
    </row>
    <row r="178" spans="1:7" ht="15.75" x14ac:dyDescent="0.25">
      <c r="A178" s="16">
        <v>176</v>
      </c>
      <c r="B178" s="6" t="s">
        <v>361</v>
      </c>
      <c r="C178" s="7">
        <v>10</v>
      </c>
      <c r="E178" s="16">
        <v>176</v>
      </c>
      <c r="F178" s="10" t="s">
        <v>293</v>
      </c>
      <c r="G178" s="11">
        <v>10</v>
      </c>
    </row>
    <row r="179" spans="1:7" ht="15.75" x14ac:dyDescent="0.25">
      <c r="A179" s="16">
        <v>177</v>
      </c>
      <c r="B179" s="6" t="s">
        <v>362</v>
      </c>
      <c r="C179" s="7">
        <v>10</v>
      </c>
      <c r="E179" s="16">
        <v>177</v>
      </c>
      <c r="F179" s="10" t="s">
        <v>294</v>
      </c>
      <c r="G179" s="11">
        <v>5</v>
      </c>
    </row>
    <row r="180" spans="1:7" ht="15.75" x14ac:dyDescent="0.25">
      <c r="A180" s="16">
        <v>178</v>
      </c>
      <c r="B180" s="6" t="s">
        <v>363</v>
      </c>
      <c r="C180" s="7">
        <v>10</v>
      </c>
      <c r="E180" s="16">
        <v>178</v>
      </c>
      <c r="F180" s="10" t="s">
        <v>295</v>
      </c>
      <c r="G180" s="11">
        <v>5</v>
      </c>
    </row>
    <row r="181" spans="1:7" ht="15.75" x14ac:dyDescent="0.25">
      <c r="A181" s="16">
        <v>179</v>
      </c>
      <c r="B181" s="6" t="s">
        <v>364</v>
      </c>
      <c r="C181" s="7">
        <v>10</v>
      </c>
      <c r="E181" s="16">
        <v>179</v>
      </c>
      <c r="F181" s="6" t="s">
        <v>296</v>
      </c>
      <c r="G181" s="7">
        <v>5</v>
      </c>
    </row>
    <row r="182" spans="1:7" ht="15.75" x14ac:dyDescent="0.25">
      <c r="A182" s="16">
        <v>180</v>
      </c>
      <c r="B182" s="6" t="s">
        <v>365</v>
      </c>
      <c r="C182" s="7">
        <v>10</v>
      </c>
      <c r="E182" s="16">
        <v>180</v>
      </c>
      <c r="F182" s="6" t="s">
        <v>297</v>
      </c>
      <c r="G182" s="7">
        <v>5</v>
      </c>
    </row>
    <row r="183" spans="1:7" ht="15.75" x14ac:dyDescent="0.25">
      <c r="A183" s="16">
        <v>181</v>
      </c>
      <c r="B183" s="6" t="s">
        <v>366</v>
      </c>
      <c r="C183" s="7">
        <v>10</v>
      </c>
      <c r="E183" s="16">
        <v>181</v>
      </c>
      <c r="F183" s="6" t="s">
        <v>298</v>
      </c>
      <c r="G183" s="7">
        <v>5</v>
      </c>
    </row>
    <row r="184" spans="1:7" ht="15.75" x14ac:dyDescent="0.25">
      <c r="A184" s="16">
        <v>182</v>
      </c>
      <c r="B184" s="6" t="s">
        <v>367</v>
      </c>
      <c r="C184" s="7">
        <v>10</v>
      </c>
      <c r="E184" s="16">
        <v>182</v>
      </c>
      <c r="F184" s="6" t="s">
        <v>299</v>
      </c>
      <c r="G184" s="7">
        <v>5</v>
      </c>
    </row>
    <row r="185" spans="1:7" ht="15.75" x14ac:dyDescent="0.25">
      <c r="A185" s="16">
        <v>183</v>
      </c>
      <c r="B185" s="6" t="s">
        <v>368</v>
      </c>
      <c r="C185" s="7">
        <v>10</v>
      </c>
      <c r="E185" s="16">
        <v>183</v>
      </c>
      <c r="F185" s="6" t="s">
        <v>375</v>
      </c>
      <c r="G185" s="7">
        <v>10</v>
      </c>
    </row>
    <row r="186" spans="1:7" ht="15.75" x14ac:dyDescent="0.25">
      <c r="A186" s="16">
        <v>184</v>
      </c>
      <c r="B186" s="6" t="s">
        <v>369</v>
      </c>
      <c r="C186" s="7">
        <v>10</v>
      </c>
      <c r="E186" s="16">
        <v>184</v>
      </c>
      <c r="F186" s="6" t="s">
        <v>376</v>
      </c>
      <c r="G186" s="7">
        <v>10</v>
      </c>
    </row>
    <row r="187" spans="1:7" ht="15.75" x14ac:dyDescent="0.25">
      <c r="A187" s="16">
        <v>185</v>
      </c>
      <c r="B187" s="6" t="s">
        <v>370</v>
      </c>
      <c r="C187" s="7">
        <v>10</v>
      </c>
      <c r="E187" s="16">
        <v>185</v>
      </c>
      <c r="F187" s="6" t="s">
        <v>377</v>
      </c>
      <c r="G187" s="7">
        <v>10</v>
      </c>
    </row>
    <row r="188" spans="1:7" ht="15.75" x14ac:dyDescent="0.25">
      <c r="A188" s="16">
        <v>186</v>
      </c>
      <c r="B188" s="6" t="s">
        <v>371</v>
      </c>
      <c r="C188" s="7">
        <v>10</v>
      </c>
      <c r="E188" s="16">
        <v>186</v>
      </c>
      <c r="F188" s="6" t="s">
        <v>378</v>
      </c>
      <c r="G188" s="7">
        <v>10</v>
      </c>
    </row>
    <row r="189" spans="1:7" ht="15.75" x14ac:dyDescent="0.25">
      <c r="A189" s="16">
        <v>187</v>
      </c>
      <c r="B189" s="6" t="s">
        <v>372</v>
      </c>
      <c r="C189" s="7">
        <v>10</v>
      </c>
      <c r="E189" s="16">
        <v>187</v>
      </c>
      <c r="F189" s="6" t="s">
        <v>379</v>
      </c>
      <c r="G189" s="7">
        <v>10</v>
      </c>
    </row>
    <row r="190" spans="1:7" ht="15.75" x14ac:dyDescent="0.25">
      <c r="A190" s="16">
        <v>188</v>
      </c>
      <c r="B190" s="6" t="s">
        <v>373</v>
      </c>
      <c r="C190" s="7">
        <v>10</v>
      </c>
      <c r="E190" s="16">
        <v>188</v>
      </c>
      <c r="F190" s="6" t="s">
        <v>380</v>
      </c>
      <c r="G190" s="7">
        <v>10</v>
      </c>
    </row>
    <row r="191" spans="1:7" ht="15.75" x14ac:dyDescent="0.25">
      <c r="A191" s="16">
        <v>189</v>
      </c>
      <c r="B191" s="6" t="s">
        <v>374</v>
      </c>
      <c r="C191" s="7">
        <v>10</v>
      </c>
      <c r="E191" s="16">
        <v>189</v>
      </c>
      <c r="F191" s="6" t="s">
        <v>381</v>
      </c>
      <c r="G191" s="7">
        <v>10</v>
      </c>
    </row>
    <row r="192" spans="1:7" ht="15.75" x14ac:dyDescent="0.25">
      <c r="A192" s="16">
        <v>190</v>
      </c>
      <c r="B192" s="6" t="s">
        <v>405</v>
      </c>
      <c r="C192" s="7">
        <v>10</v>
      </c>
      <c r="E192" s="16">
        <v>190</v>
      </c>
      <c r="F192" s="6" t="s">
        <v>382</v>
      </c>
      <c r="G192" s="7">
        <v>10</v>
      </c>
    </row>
    <row r="193" spans="1:7" ht="15.75" x14ac:dyDescent="0.25">
      <c r="A193" s="16">
        <v>191</v>
      </c>
      <c r="B193" s="6" t="s">
        <v>406</v>
      </c>
      <c r="C193" s="7">
        <v>10</v>
      </c>
      <c r="E193" s="16">
        <v>191</v>
      </c>
      <c r="F193" s="6" t="s">
        <v>383</v>
      </c>
      <c r="G193" s="7">
        <v>10</v>
      </c>
    </row>
    <row r="194" spans="1:7" ht="15.75" x14ac:dyDescent="0.25">
      <c r="A194" s="16">
        <v>192</v>
      </c>
      <c r="B194" s="6" t="s">
        <v>407</v>
      </c>
      <c r="C194" s="7">
        <v>10</v>
      </c>
      <c r="E194" s="16">
        <v>192</v>
      </c>
      <c r="F194" s="6" t="s">
        <v>384</v>
      </c>
      <c r="G194" s="7">
        <v>10</v>
      </c>
    </row>
    <row r="195" spans="1:7" ht="15.75" x14ac:dyDescent="0.25">
      <c r="A195" s="16">
        <v>193</v>
      </c>
      <c r="B195" s="6" t="s">
        <v>408</v>
      </c>
      <c r="C195" s="7">
        <v>10</v>
      </c>
      <c r="E195" s="16">
        <v>193</v>
      </c>
      <c r="F195" s="6" t="s">
        <v>385</v>
      </c>
      <c r="G195" s="7">
        <v>10</v>
      </c>
    </row>
    <row r="196" spans="1:7" ht="15.75" x14ac:dyDescent="0.25">
      <c r="A196" s="16">
        <v>194</v>
      </c>
      <c r="B196" s="6" t="s">
        <v>409</v>
      </c>
      <c r="C196" s="7">
        <v>10</v>
      </c>
      <c r="E196" s="16">
        <v>194</v>
      </c>
      <c r="F196" s="6" t="s">
        <v>386</v>
      </c>
      <c r="G196" s="7">
        <v>10</v>
      </c>
    </row>
    <row r="197" spans="1:7" ht="15.75" x14ac:dyDescent="0.25">
      <c r="A197" s="16">
        <v>195</v>
      </c>
      <c r="B197" s="6" t="s">
        <v>410</v>
      </c>
      <c r="C197" s="7">
        <v>10</v>
      </c>
      <c r="E197" s="16">
        <v>195</v>
      </c>
      <c r="F197" s="6" t="s">
        <v>387</v>
      </c>
      <c r="G197" s="7">
        <v>10</v>
      </c>
    </row>
    <row r="198" spans="1:7" ht="15.75" x14ac:dyDescent="0.25">
      <c r="A198" s="16">
        <v>196</v>
      </c>
      <c r="B198" s="6" t="s">
        <v>411</v>
      </c>
      <c r="C198" s="7">
        <v>10</v>
      </c>
      <c r="E198" s="16">
        <v>196</v>
      </c>
      <c r="F198" s="6" t="s">
        <v>388</v>
      </c>
      <c r="G198" s="7">
        <v>10</v>
      </c>
    </row>
    <row r="199" spans="1:7" ht="15.75" x14ac:dyDescent="0.25">
      <c r="A199" s="16">
        <v>197</v>
      </c>
      <c r="B199" s="6" t="s">
        <v>412</v>
      </c>
      <c r="C199" s="7">
        <v>10</v>
      </c>
      <c r="E199" s="16">
        <v>197</v>
      </c>
      <c r="F199" s="6" t="s">
        <v>389</v>
      </c>
      <c r="G199" s="7">
        <v>10</v>
      </c>
    </row>
    <row r="200" spans="1:7" ht="15.75" x14ac:dyDescent="0.25">
      <c r="A200" s="16">
        <v>198</v>
      </c>
      <c r="B200" s="6" t="s">
        <v>413</v>
      </c>
      <c r="C200" s="7">
        <v>10</v>
      </c>
      <c r="E200" s="16">
        <v>198</v>
      </c>
      <c r="F200" s="6" t="s">
        <v>390</v>
      </c>
      <c r="G200" s="7">
        <v>10</v>
      </c>
    </row>
    <row r="201" spans="1:7" ht="15.75" x14ac:dyDescent="0.25">
      <c r="A201" s="16">
        <v>199</v>
      </c>
      <c r="B201" s="6" t="s">
        <v>414</v>
      </c>
      <c r="C201" s="7">
        <v>10</v>
      </c>
      <c r="E201" s="16">
        <v>199</v>
      </c>
      <c r="F201" s="6" t="s">
        <v>391</v>
      </c>
      <c r="G201" s="7">
        <v>10</v>
      </c>
    </row>
    <row r="202" spans="1:7" ht="15.75" x14ac:dyDescent="0.25">
      <c r="A202" s="16">
        <v>200</v>
      </c>
      <c r="B202" s="6" t="s">
        <v>415</v>
      </c>
      <c r="C202" s="7">
        <v>10</v>
      </c>
      <c r="E202" s="16">
        <v>200</v>
      </c>
      <c r="F202" s="6" t="s">
        <v>392</v>
      </c>
      <c r="G202" s="7">
        <v>10</v>
      </c>
    </row>
    <row r="203" spans="1:7" ht="15.75" x14ac:dyDescent="0.25">
      <c r="A203" s="16">
        <v>201</v>
      </c>
      <c r="B203" s="6" t="s">
        <v>416</v>
      </c>
      <c r="C203" s="7">
        <v>10</v>
      </c>
      <c r="E203" s="16">
        <v>201</v>
      </c>
      <c r="F203" s="6" t="s">
        <v>393</v>
      </c>
      <c r="G203" s="7">
        <v>5</v>
      </c>
    </row>
    <row r="204" spans="1:7" ht="15.75" x14ac:dyDescent="0.25">
      <c r="A204" s="16">
        <v>202</v>
      </c>
      <c r="B204" s="6" t="s">
        <v>417</v>
      </c>
      <c r="C204" s="7">
        <v>10</v>
      </c>
      <c r="E204" s="16">
        <v>202</v>
      </c>
      <c r="F204" s="6" t="s">
        <v>394</v>
      </c>
      <c r="G204" s="7">
        <v>5</v>
      </c>
    </row>
    <row r="205" spans="1:7" ht="15.75" x14ac:dyDescent="0.25">
      <c r="A205" s="16">
        <v>203</v>
      </c>
      <c r="B205" s="6" t="s">
        <v>418</v>
      </c>
      <c r="C205" s="7">
        <v>10</v>
      </c>
      <c r="E205" s="16">
        <v>203</v>
      </c>
      <c r="F205" s="6" t="s">
        <v>395</v>
      </c>
      <c r="G205" s="7">
        <v>5</v>
      </c>
    </row>
    <row r="206" spans="1:7" ht="15.75" x14ac:dyDescent="0.25">
      <c r="A206" s="16">
        <v>204</v>
      </c>
      <c r="B206" s="18" t="s">
        <v>419</v>
      </c>
      <c r="C206" s="16">
        <v>10</v>
      </c>
      <c r="E206" s="16">
        <v>204</v>
      </c>
      <c r="F206" s="6" t="s">
        <v>396</v>
      </c>
      <c r="G206" s="7">
        <v>5</v>
      </c>
    </row>
    <row r="207" spans="1:7" ht="15.75" x14ac:dyDescent="0.25">
      <c r="A207" s="16">
        <v>205</v>
      </c>
      <c r="B207" s="18" t="s">
        <v>420</v>
      </c>
      <c r="C207" s="16">
        <v>10</v>
      </c>
      <c r="E207" s="16">
        <v>205</v>
      </c>
      <c r="F207" s="6" t="s">
        <v>397</v>
      </c>
      <c r="G207" s="7">
        <v>5</v>
      </c>
    </row>
    <row r="208" spans="1:7" ht="15.75" x14ac:dyDescent="0.25">
      <c r="A208" s="16">
        <v>206</v>
      </c>
      <c r="B208" s="18" t="s">
        <v>421</v>
      </c>
      <c r="C208" s="16">
        <v>10</v>
      </c>
      <c r="E208" s="16">
        <v>206</v>
      </c>
      <c r="F208" s="6" t="s">
        <v>398</v>
      </c>
      <c r="G208" s="7">
        <v>5</v>
      </c>
    </row>
    <row r="209" spans="1:7" ht="15.75" x14ac:dyDescent="0.25">
      <c r="A209" s="16">
        <v>207</v>
      </c>
      <c r="B209" s="18" t="s">
        <v>422</v>
      </c>
      <c r="C209" s="16">
        <v>10</v>
      </c>
      <c r="E209" s="16">
        <v>207</v>
      </c>
      <c r="F209" s="6" t="s">
        <v>399</v>
      </c>
      <c r="G209" s="7">
        <v>5</v>
      </c>
    </row>
    <row r="210" spans="1:7" ht="15.75" x14ac:dyDescent="0.25">
      <c r="A210" s="16">
        <v>208</v>
      </c>
      <c r="B210" s="18" t="s">
        <v>423</v>
      </c>
      <c r="C210" s="16">
        <v>10</v>
      </c>
      <c r="E210" s="16">
        <v>208</v>
      </c>
      <c r="F210" s="6" t="s">
        <v>400</v>
      </c>
      <c r="G210" s="7">
        <v>5</v>
      </c>
    </row>
    <row r="211" spans="1:7" ht="15.75" x14ac:dyDescent="0.25">
      <c r="A211" s="16">
        <v>209</v>
      </c>
      <c r="B211" s="18" t="s">
        <v>424</v>
      </c>
      <c r="C211" s="16">
        <v>10</v>
      </c>
      <c r="E211" s="16">
        <v>209</v>
      </c>
      <c r="F211" s="6" t="s">
        <v>401</v>
      </c>
      <c r="G211" s="7">
        <v>5</v>
      </c>
    </row>
    <row r="212" spans="1:7" ht="15.75" x14ac:dyDescent="0.25">
      <c r="A212" s="16">
        <v>210</v>
      </c>
      <c r="B212" s="18" t="s">
        <v>425</v>
      </c>
      <c r="C212" s="16">
        <v>10</v>
      </c>
      <c r="E212" s="16">
        <v>210</v>
      </c>
      <c r="F212" s="6" t="s">
        <v>402</v>
      </c>
      <c r="G212" s="7">
        <v>5</v>
      </c>
    </row>
    <row r="213" spans="1:7" ht="15.75" x14ac:dyDescent="0.25">
      <c r="A213" s="16">
        <v>211</v>
      </c>
      <c r="B213" s="18" t="s">
        <v>426</v>
      </c>
      <c r="C213" s="16">
        <v>10</v>
      </c>
      <c r="E213" s="16">
        <v>211</v>
      </c>
      <c r="F213" s="6" t="s">
        <v>403</v>
      </c>
      <c r="G213" s="7">
        <v>5</v>
      </c>
    </row>
    <row r="214" spans="1:7" ht="15.75" x14ac:dyDescent="0.25">
      <c r="A214" s="16">
        <v>212</v>
      </c>
      <c r="B214" s="18" t="s">
        <v>435</v>
      </c>
      <c r="C214" s="16">
        <v>10</v>
      </c>
      <c r="E214" s="16">
        <v>212</v>
      </c>
      <c r="F214" s="6" t="s">
        <v>404</v>
      </c>
      <c r="G214" s="7">
        <v>5</v>
      </c>
    </row>
    <row r="215" spans="1:7" ht="15.75" x14ac:dyDescent="0.25">
      <c r="A215" s="16">
        <v>213</v>
      </c>
      <c r="B215" s="18" t="s">
        <v>436</v>
      </c>
      <c r="C215" s="16">
        <v>10</v>
      </c>
      <c r="E215" s="16">
        <v>213</v>
      </c>
      <c r="F215" s="6" t="s">
        <v>427</v>
      </c>
      <c r="G215" s="7">
        <v>5</v>
      </c>
    </row>
    <row r="216" spans="1:7" ht="15.75" x14ac:dyDescent="0.25">
      <c r="A216" s="16">
        <v>214</v>
      </c>
      <c r="B216" s="18" t="s">
        <v>437</v>
      </c>
      <c r="C216" s="16">
        <v>10</v>
      </c>
      <c r="E216" s="16">
        <v>214</v>
      </c>
      <c r="F216" s="6" t="s">
        <v>428</v>
      </c>
      <c r="G216" s="7">
        <v>5</v>
      </c>
    </row>
    <row r="217" spans="1:7" ht="15.75" x14ac:dyDescent="0.25">
      <c r="A217" s="16">
        <v>215</v>
      </c>
      <c r="B217" s="18" t="s">
        <v>438</v>
      </c>
      <c r="C217" s="16">
        <v>10</v>
      </c>
      <c r="E217" s="16">
        <v>215</v>
      </c>
      <c r="F217" s="6" t="s">
        <v>429</v>
      </c>
      <c r="G217" s="7">
        <v>5</v>
      </c>
    </row>
    <row r="218" spans="1:7" ht="15.75" x14ac:dyDescent="0.25">
      <c r="A218" s="16">
        <v>216</v>
      </c>
      <c r="B218" s="18" t="s">
        <v>439</v>
      </c>
      <c r="C218" s="16">
        <v>10</v>
      </c>
      <c r="E218" s="16">
        <v>216</v>
      </c>
      <c r="F218" s="6" t="s">
        <v>430</v>
      </c>
      <c r="G218" s="7">
        <v>5</v>
      </c>
    </row>
    <row r="219" spans="1:7" ht="15.75" x14ac:dyDescent="0.25">
      <c r="A219" s="16">
        <v>217</v>
      </c>
      <c r="B219" s="18" t="s">
        <v>440</v>
      </c>
      <c r="C219" s="16">
        <v>10</v>
      </c>
      <c r="E219" s="16">
        <v>217</v>
      </c>
      <c r="F219" s="6" t="s">
        <v>431</v>
      </c>
      <c r="G219" s="7">
        <v>5</v>
      </c>
    </row>
    <row r="220" spans="1:7" ht="15.75" x14ac:dyDescent="0.25">
      <c r="A220" s="16">
        <v>218</v>
      </c>
      <c r="B220" s="18" t="s">
        <v>441</v>
      </c>
      <c r="C220" s="16">
        <v>10</v>
      </c>
      <c r="E220" s="16">
        <v>218</v>
      </c>
      <c r="F220" s="6" t="s">
        <v>432</v>
      </c>
      <c r="G220" s="7">
        <v>5</v>
      </c>
    </row>
    <row r="221" spans="1:7" ht="15.75" x14ac:dyDescent="0.25">
      <c r="A221" s="16">
        <v>219</v>
      </c>
      <c r="B221" s="18" t="s">
        <v>442</v>
      </c>
      <c r="C221" s="16">
        <v>10</v>
      </c>
      <c r="E221" s="16">
        <v>219</v>
      </c>
      <c r="F221" s="6" t="s">
        <v>433</v>
      </c>
      <c r="G221" s="7">
        <v>5</v>
      </c>
    </row>
    <row r="222" spans="1:7" ht="15.75" x14ac:dyDescent="0.25">
      <c r="A222" s="16">
        <v>220</v>
      </c>
      <c r="B222" s="18" t="s">
        <v>456</v>
      </c>
      <c r="C222" s="16">
        <v>5</v>
      </c>
      <c r="E222" s="16">
        <v>220</v>
      </c>
      <c r="F222" s="6" t="s">
        <v>434</v>
      </c>
      <c r="G222" s="7">
        <v>5</v>
      </c>
    </row>
    <row r="223" spans="1:7" ht="15.75" x14ac:dyDescent="0.25">
      <c r="A223" s="16">
        <v>221</v>
      </c>
      <c r="B223" s="18" t="s">
        <v>455</v>
      </c>
      <c r="C223" s="16">
        <v>10</v>
      </c>
      <c r="E223" s="16">
        <v>221</v>
      </c>
      <c r="F223" s="18" t="s">
        <v>443</v>
      </c>
      <c r="G223" s="7">
        <v>5</v>
      </c>
    </row>
    <row r="224" spans="1:7" ht="15.75" x14ac:dyDescent="0.25">
      <c r="A224" s="16">
        <v>222</v>
      </c>
      <c r="B224" s="18" t="s">
        <v>459</v>
      </c>
      <c r="C224" s="16">
        <v>5</v>
      </c>
      <c r="E224" s="16">
        <v>222</v>
      </c>
      <c r="F224" s="18" t="s">
        <v>444</v>
      </c>
      <c r="G224" s="7">
        <v>5</v>
      </c>
    </row>
    <row r="225" spans="1:7" ht="15.75" x14ac:dyDescent="0.25">
      <c r="A225" s="16">
        <v>223</v>
      </c>
      <c r="B225" s="18" t="s">
        <v>488</v>
      </c>
      <c r="C225" s="16">
        <v>20</v>
      </c>
      <c r="E225" s="16">
        <v>223</v>
      </c>
      <c r="F225" s="18" t="s">
        <v>445</v>
      </c>
      <c r="G225" s="7">
        <v>5</v>
      </c>
    </row>
    <row r="226" spans="1:7" ht="15.75" x14ac:dyDescent="0.25">
      <c r="A226" s="16">
        <v>224</v>
      </c>
      <c r="B226" s="18" t="s">
        <v>457</v>
      </c>
      <c r="C226" s="16">
        <v>20</v>
      </c>
      <c r="E226" s="16">
        <v>224</v>
      </c>
      <c r="F226" s="18" t="s">
        <v>446</v>
      </c>
      <c r="G226" s="7">
        <v>5</v>
      </c>
    </row>
    <row r="227" spans="1:7" ht="15.75" x14ac:dyDescent="0.25">
      <c r="A227" s="16">
        <v>225</v>
      </c>
      <c r="B227" s="18" t="s">
        <v>458</v>
      </c>
      <c r="C227" s="16">
        <v>10</v>
      </c>
      <c r="E227" s="16">
        <v>225</v>
      </c>
      <c r="F227" s="18" t="s">
        <v>447</v>
      </c>
      <c r="G227" s="7">
        <v>5</v>
      </c>
    </row>
    <row r="228" spans="1:7" ht="15.75" x14ac:dyDescent="0.25">
      <c r="A228" s="16">
        <v>226</v>
      </c>
      <c r="B228" s="18" t="s">
        <v>460</v>
      </c>
      <c r="C228" s="16">
        <v>20</v>
      </c>
      <c r="E228" s="16">
        <v>226</v>
      </c>
      <c r="F228" s="18" t="s">
        <v>448</v>
      </c>
      <c r="G228" s="7">
        <v>5</v>
      </c>
    </row>
    <row r="229" spans="1:7" ht="15.75" x14ac:dyDescent="0.25">
      <c r="A229" s="16">
        <v>228</v>
      </c>
      <c r="B229" s="18" t="s">
        <v>461</v>
      </c>
      <c r="C229" s="16">
        <v>20</v>
      </c>
      <c r="E229" s="16">
        <v>227</v>
      </c>
      <c r="F229" s="18" t="s">
        <v>449</v>
      </c>
      <c r="G229" s="7">
        <v>5</v>
      </c>
    </row>
    <row r="230" spans="1:7" ht="15.75" x14ac:dyDescent="0.25">
      <c r="A230" s="16">
        <v>229</v>
      </c>
      <c r="B230" s="18" t="s">
        <v>463</v>
      </c>
      <c r="C230" s="16">
        <v>10</v>
      </c>
      <c r="E230" s="16">
        <v>228</v>
      </c>
      <c r="F230" s="18" t="s">
        <v>450</v>
      </c>
      <c r="G230" s="7">
        <v>5</v>
      </c>
    </row>
    <row r="231" spans="1:7" ht="15.75" x14ac:dyDescent="0.25">
      <c r="A231" s="16">
        <v>230</v>
      </c>
      <c r="B231" s="18" t="s">
        <v>462</v>
      </c>
      <c r="C231" s="16">
        <v>20</v>
      </c>
      <c r="E231" s="16">
        <v>229</v>
      </c>
      <c r="F231" s="18" t="s">
        <v>451</v>
      </c>
      <c r="G231" s="7">
        <v>5</v>
      </c>
    </row>
    <row r="232" spans="1:7" ht="15.75" x14ac:dyDescent="0.25">
      <c r="A232" s="16">
        <v>232</v>
      </c>
      <c r="B232" s="18" t="s">
        <v>464</v>
      </c>
      <c r="C232" s="16">
        <v>10</v>
      </c>
      <c r="E232" s="16">
        <v>230</v>
      </c>
      <c r="F232" s="18" t="s">
        <v>452</v>
      </c>
      <c r="G232" s="7">
        <v>5</v>
      </c>
    </row>
    <row r="233" spans="1:7" ht="15.75" x14ac:dyDescent="0.25">
      <c r="A233" s="16">
        <v>233</v>
      </c>
      <c r="B233" s="18" t="s">
        <v>465</v>
      </c>
      <c r="C233" s="16">
        <v>20</v>
      </c>
      <c r="E233" s="16">
        <v>231</v>
      </c>
      <c r="F233" s="18" t="s">
        <v>453</v>
      </c>
      <c r="G233" s="7">
        <v>5</v>
      </c>
    </row>
    <row r="234" spans="1:7" ht="15.75" x14ac:dyDescent="0.25">
      <c r="A234" s="16">
        <v>234</v>
      </c>
      <c r="B234" s="18" t="s">
        <v>466</v>
      </c>
      <c r="C234" s="16">
        <v>5</v>
      </c>
      <c r="E234" s="16">
        <v>232</v>
      </c>
      <c r="F234" s="18" t="s">
        <v>454</v>
      </c>
      <c r="G234" s="7">
        <v>5</v>
      </c>
    </row>
    <row r="235" spans="1:7" ht="15.75" x14ac:dyDescent="0.25">
      <c r="A235" s="16">
        <v>235</v>
      </c>
      <c r="B235" s="18" t="s">
        <v>467</v>
      </c>
      <c r="C235" s="16">
        <v>5</v>
      </c>
      <c r="E235" s="16"/>
      <c r="F235" s="17"/>
      <c r="G235" s="17"/>
    </row>
    <row r="236" spans="1:7" ht="15.75" x14ac:dyDescent="0.25">
      <c r="A236" s="16">
        <v>236</v>
      </c>
      <c r="B236" s="18" t="s">
        <v>468</v>
      </c>
      <c r="C236" s="16">
        <v>5</v>
      </c>
      <c r="E236" s="16"/>
      <c r="F236" s="17"/>
      <c r="G236" s="17"/>
    </row>
    <row r="237" spans="1:7" ht="15.75" x14ac:dyDescent="0.25">
      <c r="A237" s="16">
        <v>237</v>
      </c>
      <c r="B237" s="18" t="s">
        <v>469</v>
      </c>
      <c r="C237" s="16">
        <v>2</v>
      </c>
      <c r="E237" s="16"/>
      <c r="F237" s="17"/>
      <c r="G237" s="17"/>
    </row>
    <row r="238" spans="1:7" ht="15.75" x14ac:dyDescent="0.25">
      <c r="A238" s="16">
        <v>238</v>
      </c>
      <c r="B238" s="18" t="s">
        <v>470</v>
      </c>
      <c r="C238" s="16">
        <v>10</v>
      </c>
      <c r="E238" s="16"/>
      <c r="F238" s="17"/>
      <c r="G238" s="17"/>
    </row>
    <row r="239" spans="1:7" ht="15.75" x14ac:dyDescent="0.25">
      <c r="A239" s="16">
        <v>239</v>
      </c>
      <c r="B239" s="18" t="s">
        <v>471</v>
      </c>
      <c r="C239" s="16">
        <v>5</v>
      </c>
      <c r="E239" s="16"/>
      <c r="F239" s="17"/>
      <c r="G239" s="17"/>
    </row>
    <row r="240" spans="1:7" ht="15.75" x14ac:dyDescent="0.25">
      <c r="A240" s="16">
        <v>240</v>
      </c>
      <c r="B240" s="18" t="s">
        <v>472</v>
      </c>
      <c r="C240" s="16">
        <v>2</v>
      </c>
      <c r="E240" s="16"/>
      <c r="F240" s="17"/>
      <c r="G240" s="17"/>
    </row>
    <row r="241" spans="1:7" ht="15.75" x14ac:dyDescent="0.25">
      <c r="A241" s="16">
        <v>241</v>
      </c>
      <c r="B241" s="18" t="s">
        <v>473</v>
      </c>
      <c r="C241" s="16">
        <v>2</v>
      </c>
      <c r="E241" s="17"/>
      <c r="F241" s="17"/>
      <c r="G241" s="17"/>
    </row>
    <row r="242" spans="1:7" ht="15.75" x14ac:dyDescent="0.25">
      <c r="A242" s="16">
        <v>242</v>
      </c>
      <c r="B242" s="18" t="s">
        <v>474</v>
      </c>
      <c r="C242" s="16">
        <v>1</v>
      </c>
      <c r="E242" s="17"/>
      <c r="F242" s="17"/>
      <c r="G242" s="17"/>
    </row>
    <row r="243" spans="1:7" ht="15.75" x14ac:dyDescent="0.25">
      <c r="A243" s="16">
        <v>243</v>
      </c>
      <c r="B243" s="18" t="s">
        <v>475</v>
      </c>
      <c r="C243" s="16">
        <v>5</v>
      </c>
      <c r="E243" s="17"/>
      <c r="F243" s="17"/>
      <c r="G243" s="17"/>
    </row>
    <row r="244" spans="1:7" ht="15.75" x14ac:dyDescent="0.25">
      <c r="A244" s="16">
        <v>244</v>
      </c>
      <c r="B244" s="18" t="s">
        <v>476</v>
      </c>
      <c r="C244" s="16">
        <v>2</v>
      </c>
      <c r="E244" s="17"/>
      <c r="F244" s="17"/>
      <c r="G244" s="17"/>
    </row>
    <row r="245" spans="1:7" ht="15.75" x14ac:dyDescent="0.25">
      <c r="A245" s="16">
        <v>245</v>
      </c>
      <c r="B245" s="18" t="s">
        <v>477</v>
      </c>
      <c r="C245" s="16">
        <v>2</v>
      </c>
      <c r="E245" s="17"/>
      <c r="F245" s="17"/>
      <c r="G245" s="17"/>
    </row>
    <row r="246" spans="1:7" ht="15.75" x14ac:dyDescent="0.25">
      <c r="A246" s="16">
        <v>246</v>
      </c>
      <c r="B246" s="18" t="s">
        <v>478</v>
      </c>
      <c r="C246" s="16">
        <v>20</v>
      </c>
      <c r="E246" s="17"/>
      <c r="F246" s="17"/>
      <c r="G246" s="17"/>
    </row>
    <row r="247" spans="1:7" ht="15.75" x14ac:dyDescent="0.25">
      <c r="A247" s="16">
        <v>247</v>
      </c>
      <c r="B247" s="18" t="s">
        <v>479</v>
      </c>
      <c r="C247" s="16">
        <v>5</v>
      </c>
      <c r="E247" s="17"/>
      <c r="F247" s="17"/>
      <c r="G247" s="17"/>
    </row>
    <row r="248" spans="1:7" ht="15.75" x14ac:dyDescent="0.25">
      <c r="A248" s="16">
        <v>248</v>
      </c>
      <c r="B248" s="18" t="s">
        <v>480</v>
      </c>
      <c r="C248" s="16">
        <v>5</v>
      </c>
      <c r="E248" s="17"/>
      <c r="F248" s="17"/>
      <c r="G248" s="17"/>
    </row>
    <row r="249" spans="1:7" ht="15.75" x14ac:dyDescent="0.25">
      <c r="A249" s="16">
        <v>249</v>
      </c>
      <c r="B249" s="18" t="s">
        <v>481</v>
      </c>
      <c r="C249" s="16">
        <v>2</v>
      </c>
      <c r="E249" s="17"/>
      <c r="F249" s="17"/>
      <c r="G249" s="17"/>
    </row>
    <row r="250" spans="1:7" ht="15.75" x14ac:dyDescent="0.25">
      <c r="A250" s="16">
        <v>250</v>
      </c>
      <c r="B250" s="18" t="s">
        <v>482</v>
      </c>
      <c r="C250" s="16">
        <v>1</v>
      </c>
      <c r="E250" s="17"/>
      <c r="F250" s="17"/>
      <c r="G250" s="17"/>
    </row>
    <row r="251" spans="1:7" ht="15.75" x14ac:dyDescent="0.25">
      <c r="A251" s="16">
        <v>251</v>
      </c>
      <c r="B251" s="18" t="s">
        <v>483</v>
      </c>
      <c r="C251" s="16">
        <v>5</v>
      </c>
      <c r="E251" s="17"/>
      <c r="F251" s="17"/>
      <c r="G251" s="17"/>
    </row>
    <row r="252" spans="1:7" ht="15.75" x14ac:dyDescent="0.25">
      <c r="A252" s="16">
        <v>252</v>
      </c>
      <c r="B252" s="18" t="s">
        <v>484</v>
      </c>
      <c r="C252" s="16">
        <v>5</v>
      </c>
      <c r="E252" s="17"/>
      <c r="F252" s="17"/>
      <c r="G252" s="17"/>
    </row>
    <row r="253" spans="1:7" ht="15.75" x14ac:dyDescent="0.25">
      <c r="A253" s="16">
        <v>253</v>
      </c>
      <c r="B253" s="18" t="s">
        <v>485</v>
      </c>
      <c r="C253" s="16">
        <v>5</v>
      </c>
      <c r="E253" s="17"/>
      <c r="F253" s="17"/>
      <c r="G253" s="17"/>
    </row>
    <row r="254" spans="1:7" ht="15.75" x14ac:dyDescent="0.25">
      <c r="A254" s="16">
        <v>254</v>
      </c>
      <c r="B254" s="18" t="s">
        <v>486</v>
      </c>
      <c r="C254" s="16">
        <v>2</v>
      </c>
      <c r="E254" s="17"/>
      <c r="F254" s="17"/>
      <c r="G254" s="17"/>
    </row>
    <row r="255" spans="1:7" ht="15.75" x14ac:dyDescent="0.25">
      <c r="A255" s="16">
        <v>255</v>
      </c>
      <c r="B255" s="18" t="s">
        <v>487</v>
      </c>
      <c r="C255" s="16">
        <v>2</v>
      </c>
      <c r="E255" s="17"/>
      <c r="F255" s="17"/>
      <c r="G255" s="17"/>
    </row>
  </sheetData>
  <mergeCells count="2">
    <mergeCell ref="A1:C1"/>
    <mergeCell ref="E1:G1"/>
  </mergeCells>
  <pageMargins left="0.2" right="0.2" top="0.24" bottom="0.24" header="0.24" footer="0.2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61"/>
  <sheetViews>
    <sheetView workbookViewId="0">
      <selection activeCell="J14" sqref="J14"/>
    </sheetView>
  </sheetViews>
  <sheetFormatPr defaultRowHeight="15" x14ac:dyDescent="0.25"/>
  <cols>
    <col min="1" max="1" width="6" bestFit="1" customWidth="1"/>
    <col min="2" max="2" width="20.7109375" customWidth="1"/>
    <col min="3" max="3" width="5.7109375" customWidth="1"/>
    <col min="4" max="4" width="10" style="19" customWidth="1"/>
    <col min="5" max="5" width="10.28515625" style="19" customWidth="1"/>
    <col min="6" max="6" width="9.5703125" customWidth="1"/>
    <col min="7" max="7" width="8.5703125" customWidth="1"/>
    <col min="8" max="8" width="12.140625" customWidth="1"/>
    <col min="9" max="9" width="9.7109375" customWidth="1"/>
  </cols>
  <sheetData>
    <row r="2" spans="1:9" x14ac:dyDescent="0.25">
      <c r="A2" s="48" t="s">
        <v>499</v>
      </c>
      <c r="B2" s="48"/>
      <c r="C2" s="48"/>
      <c r="D2" s="48"/>
      <c r="E2" s="48"/>
      <c r="F2" s="48"/>
      <c r="G2" s="48"/>
      <c r="H2" s="48"/>
      <c r="I2" s="48"/>
    </row>
    <row r="3" spans="1:9" x14ac:dyDescent="0.25">
      <c r="A3" s="20" t="s">
        <v>2</v>
      </c>
      <c r="B3" s="20" t="s">
        <v>3</v>
      </c>
      <c r="C3" s="20" t="s">
        <v>493</v>
      </c>
      <c r="D3" s="20" t="s">
        <v>495</v>
      </c>
      <c r="E3" s="20" t="s">
        <v>494</v>
      </c>
      <c r="F3" s="20" t="s">
        <v>496</v>
      </c>
      <c r="G3" s="20" t="s">
        <v>497</v>
      </c>
      <c r="H3" s="20" t="s">
        <v>498</v>
      </c>
      <c r="I3" s="20" t="s">
        <v>500</v>
      </c>
    </row>
    <row r="4" spans="1:9" x14ac:dyDescent="0.25">
      <c r="A4" s="20">
        <v>1</v>
      </c>
      <c r="B4" s="21" t="s">
        <v>9</v>
      </c>
      <c r="C4" s="21">
        <v>100</v>
      </c>
      <c r="D4" s="22">
        <v>5</v>
      </c>
      <c r="E4" s="22">
        <v>21</v>
      </c>
      <c r="F4" s="23">
        <f>D4+E4</f>
        <v>26</v>
      </c>
      <c r="G4" s="24">
        <f>F4*3</f>
        <v>78</v>
      </c>
      <c r="H4" s="24">
        <v>148</v>
      </c>
      <c r="I4" s="24">
        <f>H4-G4</f>
        <v>70</v>
      </c>
    </row>
    <row r="5" spans="1:9" x14ac:dyDescent="0.25">
      <c r="A5" s="20">
        <v>2</v>
      </c>
      <c r="B5" s="21" t="s">
        <v>11</v>
      </c>
      <c r="C5" s="21">
        <v>100</v>
      </c>
      <c r="D5" s="22">
        <v>19</v>
      </c>
      <c r="E5" s="22">
        <v>41</v>
      </c>
      <c r="F5" s="23">
        <f t="shared" ref="F5:F68" si="0">D5+E5</f>
        <v>60</v>
      </c>
      <c r="G5" s="24">
        <f t="shared" ref="G5:G68" si="1">F5*3</f>
        <v>180</v>
      </c>
      <c r="H5" s="24">
        <v>209</v>
      </c>
      <c r="I5" s="24">
        <f t="shared" ref="I5:I55" si="2">H5-G5</f>
        <v>29</v>
      </c>
    </row>
    <row r="6" spans="1:9" x14ac:dyDescent="0.25">
      <c r="A6" s="20">
        <v>3</v>
      </c>
      <c r="B6" s="21" t="s">
        <v>5</v>
      </c>
      <c r="C6" s="21">
        <v>300</v>
      </c>
      <c r="D6" s="22">
        <v>130</v>
      </c>
      <c r="E6" s="22">
        <v>175</v>
      </c>
      <c r="F6" s="23">
        <f t="shared" si="0"/>
        <v>305</v>
      </c>
      <c r="G6" s="24">
        <f t="shared" si="1"/>
        <v>915</v>
      </c>
      <c r="H6" s="24">
        <v>335</v>
      </c>
      <c r="I6" s="24">
        <f t="shared" si="2"/>
        <v>-580</v>
      </c>
    </row>
    <row r="7" spans="1:9" x14ac:dyDescent="0.25">
      <c r="A7" s="20">
        <v>4</v>
      </c>
      <c r="B7" s="21" t="s">
        <v>7</v>
      </c>
      <c r="C7" s="21">
        <v>200</v>
      </c>
      <c r="D7" s="22">
        <v>120</v>
      </c>
      <c r="E7" s="22">
        <v>102</v>
      </c>
      <c r="F7" s="23">
        <f t="shared" si="0"/>
        <v>222</v>
      </c>
      <c r="G7" s="24">
        <f t="shared" si="1"/>
        <v>666</v>
      </c>
      <c r="H7" s="24">
        <v>-14</v>
      </c>
      <c r="I7" s="24">
        <f t="shared" si="2"/>
        <v>-680</v>
      </c>
    </row>
    <row r="8" spans="1:9" x14ac:dyDescent="0.25">
      <c r="A8" s="20">
        <v>5</v>
      </c>
      <c r="B8" s="21" t="s">
        <v>17</v>
      </c>
      <c r="C8" s="21">
        <v>50</v>
      </c>
      <c r="D8" s="22">
        <v>35</v>
      </c>
      <c r="E8" s="22">
        <v>6</v>
      </c>
      <c r="F8" s="23">
        <f t="shared" si="0"/>
        <v>41</v>
      </c>
      <c r="G8" s="24">
        <f t="shared" si="1"/>
        <v>123</v>
      </c>
      <c r="H8" s="24">
        <v>118</v>
      </c>
      <c r="I8" s="24">
        <f t="shared" si="2"/>
        <v>-5</v>
      </c>
    </row>
    <row r="9" spans="1:9" x14ac:dyDescent="0.25">
      <c r="A9" s="20">
        <v>6</v>
      </c>
      <c r="B9" s="21" t="s">
        <v>21</v>
      </c>
      <c r="C9" s="21">
        <v>50</v>
      </c>
      <c r="D9" s="22">
        <v>30</v>
      </c>
      <c r="E9" s="22">
        <v>2</v>
      </c>
      <c r="F9" s="23">
        <f t="shared" si="0"/>
        <v>32</v>
      </c>
      <c r="G9" s="24">
        <f t="shared" si="1"/>
        <v>96</v>
      </c>
      <c r="H9" s="24">
        <v>18</v>
      </c>
      <c r="I9" s="24">
        <f t="shared" si="2"/>
        <v>-78</v>
      </c>
    </row>
    <row r="10" spans="1:9" x14ac:dyDescent="0.25">
      <c r="A10" s="20">
        <v>7</v>
      </c>
      <c r="B10" s="21" t="s">
        <v>15</v>
      </c>
      <c r="C10" s="21">
        <v>50</v>
      </c>
      <c r="D10" s="22">
        <v>35</v>
      </c>
      <c r="E10" s="22">
        <v>2</v>
      </c>
      <c r="F10" s="23">
        <f t="shared" si="0"/>
        <v>37</v>
      </c>
      <c r="G10" s="24">
        <f t="shared" si="1"/>
        <v>111</v>
      </c>
      <c r="H10" s="24">
        <v>31</v>
      </c>
      <c r="I10" s="24">
        <f t="shared" si="2"/>
        <v>-80</v>
      </c>
    </row>
    <row r="11" spans="1:9" x14ac:dyDescent="0.25">
      <c r="A11" s="20">
        <v>8</v>
      </c>
      <c r="B11" s="21" t="s">
        <v>13</v>
      </c>
      <c r="C11" s="21">
        <v>50</v>
      </c>
      <c r="D11" s="22">
        <v>21</v>
      </c>
      <c r="E11" s="22">
        <v>14</v>
      </c>
      <c r="F11" s="23">
        <f t="shared" si="0"/>
        <v>35</v>
      </c>
      <c r="G11" s="24">
        <f t="shared" si="1"/>
        <v>105</v>
      </c>
      <c r="H11" s="24">
        <v>37</v>
      </c>
      <c r="I11" s="24">
        <f t="shared" si="2"/>
        <v>-68</v>
      </c>
    </row>
    <row r="12" spans="1:9" x14ac:dyDescent="0.25">
      <c r="A12" s="20">
        <v>9</v>
      </c>
      <c r="B12" s="21" t="s">
        <v>41</v>
      </c>
      <c r="C12" s="21">
        <v>100</v>
      </c>
      <c r="D12" s="22">
        <v>20</v>
      </c>
      <c r="E12" s="22">
        <v>51</v>
      </c>
      <c r="F12" s="23">
        <f t="shared" si="0"/>
        <v>71</v>
      </c>
      <c r="G12" s="24">
        <f t="shared" si="1"/>
        <v>213</v>
      </c>
      <c r="H12" s="24">
        <v>98</v>
      </c>
      <c r="I12" s="24">
        <f t="shared" si="2"/>
        <v>-115</v>
      </c>
    </row>
    <row r="13" spans="1:9" x14ac:dyDescent="0.25">
      <c r="A13" s="20">
        <v>10</v>
      </c>
      <c r="B13" s="21" t="s">
        <v>43</v>
      </c>
      <c r="C13" s="21">
        <v>100</v>
      </c>
      <c r="D13" s="22">
        <v>10</v>
      </c>
      <c r="E13" s="22">
        <v>22</v>
      </c>
      <c r="F13" s="23">
        <f t="shared" si="0"/>
        <v>32</v>
      </c>
      <c r="G13" s="24">
        <f t="shared" si="1"/>
        <v>96</v>
      </c>
      <c r="H13" s="24">
        <v>62</v>
      </c>
      <c r="I13" s="24">
        <f t="shared" si="2"/>
        <v>-34</v>
      </c>
    </row>
    <row r="14" spans="1:9" x14ac:dyDescent="0.25">
      <c r="A14" s="20">
        <v>11</v>
      </c>
      <c r="B14" s="21" t="s">
        <v>45</v>
      </c>
      <c r="C14" s="21">
        <v>20</v>
      </c>
      <c r="D14" s="20">
        <v>0</v>
      </c>
      <c r="E14" s="20">
        <v>0</v>
      </c>
      <c r="F14" s="23">
        <f t="shared" si="0"/>
        <v>0</v>
      </c>
      <c r="G14" s="24">
        <f t="shared" si="1"/>
        <v>0</v>
      </c>
      <c r="H14" s="24">
        <v>40</v>
      </c>
      <c r="I14" s="24">
        <f t="shared" si="2"/>
        <v>40</v>
      </c>
    </row>
    <row r="15" spans="1:9" x14ac:dyDescent="0.25">
      <c r="A15" s="20">
        <v>12</v>
      </c>
      <c r="B15" s="21" t="s">
        <v>47</v>
      </c>
      <c r="C15" s="21">
        <v>20</v>
      </c>
      <c r="D15" s="20">
        <v>0</v>
      </c>
      <c r="E15" s="20">
        <v>0</v>
      </c>
      <c r="F15" s="23">
        <f t="shared" si="0"/>
        <v>0</v>
      </c>
      <c r="G15" s="24">
        <f t="shared" si="1"/>
        <v>0</v>
      </c>
      <c r="H15" s="24">
        <v>44</v>
      </c>
      <c r="I15" s="24">
        <f t="shared" si="2"/>
        <v>44</v>
      </c>
    </row>
    <row r="16" spans="1:9" x14ac:dyDescent="0.25">
      <c r="A16" s="20">
        <v>13</v>
      </c>
      <c r="B16" s="21" t="s">
        <v>25</v>
      </c>
      <c r="C16" s="21">
        <v>100</v>
      </c>
      <c r="D16" s="22">
        <v>2</v>
      </c>
      <c r="E16" s="22">
        <v>53</v>
      </c>
      <c r="F16" s="23">
        <f t="shared" si="0"/>
        <v>55</v>
      </c>
      <c r="G16" s="24">
        <f t="shared" si="1"/>
        <v>165</v>
      </c>
      <c r="H16" s="24">
        <v>68</v>
      </c>
      <c r="I16" s="24">
        <f t="shared" si="2"/>
        <v>-97</v>
      </c>
    </row>
    <row r="17" spans="1:9" x14ac:dyDescent="0.25">
      <c r="A17" s="20">
        <v>14</v>
      </c>
      <c r="B17" s="21" t="s">
        <v>27</v>
      </c>
      <c r="C17" s="21">
        <v>100</v>
      </c>
      <c r="D17" s="22">
        <v>1</v>
      </c>
      <c r="E17" s="22">
        <v>15</v>
      </c>
      <c r="F17" s="23">
        <f t="shared" si="0"/>
        <v>16</v>
      </c>
      <c r="G17" s="24">
        <f t="shared" si="1"/>
        <v>48</v>
      </c>
      <c r="H17" s="24">
        <v>76</v>
      </c>
      <c r="I17" s="24">
        <f t="shared" si="2"/>
        <v>28</v>
      </c>
    </row>
    <row r="18" spans="1:9" x14ac:dyDescent="0.25">
      <c r="A18" s="20">
        <v>15</v>
      </c>
      <c r="B18" s="21" t="s">
        <v>29</v>
      </c>
      <c r="C18" s="21">
        <v>50</v>
      </c>
      <c r="D18" s="20">
        <v>0</v>
      </c>
      <c r="E18" s="20">
        <v>0</v>
      </c>
      <c r="F18" s="23">
        <f t="shared" si="0"/>
        <v>0</v>
      </c>
      <c r="G18" s="24">
        <f t="shared" si="1"/>
        <v>0</v>
      </c>
      <c r="H18" s="24">
        <v>48</v>
      </c>
      <c r="I18" s="24">
        <f t="shared" si="2"/>
        <v>48</v>
      </c>
    </row>
    <row r="19" spans="1:9" x14ac:dyDescent="0.25">
      <c r="A19" s="20">
        <v>16</v>
      </c>
      <c r="B19" s="21" t="s">
        <v>31</v>
      </c>
      <c r="C19" s="21">
        <v>50</v>
      </c>
      <c r="D19" s="20">
        <v>0</v>
      </c>
      <c r="E19" s="20">
        <v>0</v>
      </c>
      <c r="F19" s="23">
        <f t="shared" si="0"/>
        <v>0</v>
      </c>
      <c r="G19" s="24">
        <f t="shared" si="1"/>
        <v>0</v>
      </c>
      <c r="H19" s="24">
        <v>48</v>
      </c>
      <c r="I19" s="24">
        <f t="shared" si="2"/>
        <v>48</v>
      </c>
    </row>
    <row r="20" spans="1:9" x14ac:dyDescent="0.25">
      <c r="A20" s="20">
        <v>17</v>
      </c>
      <c r="B20" s="21" t="s">
        <v>57</v>
      </c>
      <c r="C20" s="21">
        <v>100</v>
      </c>
      <c r="D20" s="22">
        <v>1</v>
      </c>
      <c r="E20" s="22">
        <v>44</v>
      </c>
      <c r="F20" s="23">
        <f t="shared" si="0"/>
        <v>45</v>
      </c>
      <c r="G20" s="24">
        <f t="shared" si="1"/>
        <v>135</v>
      </c>
      <c r="H20" s="24">
        <v>76</v>
      </c>
      <c r="I20" s="24">
        <f t="shared" si="2"/>
        <v>-59</v>
      </c>
    </row>
    <row r="21" spans="1:9" x14ac:dyDescent="0.25">
      <c r="A21" s="20">
        <v>18</v>
      </c>
      <c r="B21" s="21" t="s">
        <v>59</v>
      </c>
      <c r="C21" s="21">
        <v>100</v>
      </c>
      <c r="D21" s="22">
        <v>0</v>
      </c>
      <c r="E21" s="22">
        <v>5</v>
      </c>
      <c r="F21" s="23">
        <f t="shared" si="0"/>
        <v>5</v>
      </c>
      <c r="G21" s="24">
        <f t="shared" si="1"/>
        <v>15</v>
      </c>
      <c r="H21" s="24">
        <v>100</v>
      </c>
      <c r="I21" s="24">
        <f t="shared" si="2"/>
        <v>85</v>
      </c>
    </row>
    <row r="22" spans="1:9" x14ac:dyDescent="0.25">
      <c r="A22" s="20">
        <v>19</v>
      </c>
      <c r="B22" s="21" t="s">
        <v>77</v>
      </c>
      <c r="C22" s="21">
        <v>50</v>
      </c>
      <c r="D22" s="22">
        <v>0</v>
      </c>
      <c r="E22" s="22">
        <v>6</v>
      </c>
      <c r="F22" s="23">
        <f t="shared" si="0"/>
        <v>6</v>
      </c>
      <c r="G22" s="24">
        <f t="shared" si="1"/>
        <v>18</v>
      </c>
      <c r="H22" s="24">
        <v>109</v>
      </c>
      <c r="I22" s="24">
        <f t="shared" si="2"/>
        <v>91</v>
      </c>
    </row>
    <row r="23" spans="1:9" x14ac:dyDescent="0.25">
      <c r="A23" s="20">
        <v>20</v>
      </c>
      <c r="B23" s="21" t="s">
        <v>79</v>
      </c>
      <c r="C23" s="21">
        <v>50</v>
      </c>
      <c r="D23" s="22">
        <v>0</v>
      </c>
      <c r="E23" s="22">
        <v>5</v>
      </c>
      <c r="F23" s="23">
        <f t="shared" si="0"/>
        <v>5</v>
      </c>
      <c r="G23" s="24">
        <f t="shared" si="1"/>
        <v>15</v>
      </c>
      <c r="H23" s="24">
        <v>86</v>
      </c>
      <c r="I23" s="24">
        <f t="shared" si="2"/>
        <v>71</v>
      </c>
    </row>
    <row r="24" spans="1:9" x14ac:dyDescent="0.25">
      <c r="A24" s="20">
        <v>21</v>
      </c>
      <c r="B24" s="21" t="s">
        <v>10</v>
      </c>
      <c r="C24" s="21">
        <v>300</v>
      </c>
      <c r="D24" s="22">
        <v>33</v>
      </c>
      <c r="E24" s="22">
        <v>284</v>
      </c>
      <c r="F24" s="23">
        <f t="shared" si="0"/>
        <v>317</v>
      </c>
      <c r="G24" s="24">
        <f t="shared" si="1"/>
        <v>951</v>
      </c>
      <c r="H24" s="24">
        <v>708</v>
      </c>
      <c r="I24" s="24">
        <f t="shared" si="2"/>
        <v>-243</v>
      </c>
    </row>
    <row r="25" spans="1:9" x14ac:dyDescent="0.25">
      <c r="A25" s="20">
        <v>22</v>
      </c>
      <c r="B25" s="21" t="s">
        <v>12</v>
      </c>
      <c r="C25" s="21">
        <v>300</v>
      </c>
      <c r="D25" s="22">
        <v>113</v>
      </c>
      <c r="E25" s="22">
        <v>152</v>
      </c>
      <c r="F25" s="23">
        <f t="shared" si="0"/>
        <v>265</v>
      </c>
      <c r="G25" s="24">
        <f t="shared" si="1"/>
        <v>795</v>
      </c>
      <c r="H25" s="24">
        <v>203</v>
      </c>
      <c r="I25" s="24">
        <f t="shared" si="2"/>
        <v>-592</v>
      </c>
    </row>
    <row r="26" spans="1:9" x14ac:dyDescent="0.25">
      <c r="A26" s="20">
        <v>23</v>
      </c>
      <c r="B26" s="21" t="s">
        <v>18</v>
      </c>
      <c r="C26" s="21">
        <v>300</v>
      </c>
      <c r="D26" s="22">
        <v>28</v>
      </c>
      <c r="E26" s="22">
        <v>256</v>
      </c>
      <c r="F26" s="23">
        <f t="shared" si="0"/>
        <v>284</v>
      </c>
      <c r="G26" s="24">
        <f t="shared" si="1"/>
        <v>852</v>
      </c>
      <c r="H26" s="24">
        <v>223</v>
      </c>
      <c r="I26" s="24">
        <f t="shared" si="2"/>
        <v>-629</v>
      </c>
    </row>
    <row r="27" spans="1:9" x14ac:dyDescent="0.25">
      <c r="A27" s="20">
        <v>24</v>
      </c>
      <c r="B27" s="21" t="s">
        <v>20</v>
      </c>
      <c r="C27" s="21">
        <v>300</v>
      </c>
      <c r="D27" s="22">
        <v>33</v>
      </c>
      <c r="E27" s="22">
        <v>121</v>
      </c>
      <c r="F27" s="23">
        <f t="shared" si="0"/>
        <v>154</v>
      </c>
      <c r="G27" s="24">
        <f t="shared" si="1"/>
        <v>462</v>
      </c>
      <c r="H27" s="24">
        <v>174</v>
      </c>
      <c r="I27" s="24">
        <f t="shared" si="2"/>
        <v>-288</v>
      </c>
    </row>
    <row r="28" spans="1:9" x14ac:dyDescent="0.25">
      <c r="A28" s="20">
        <v>25</v>
      </c>
      <c r="B28" s="21" t="s">
        <v>26</v>
      </c>
      <c r="C28" s="21">
        <v>200</v>
      </c>
      <c r="D28" s="22">
        <v>28</v>
      </c>
      <c r="E28" s="22">
        <v>161</v>
      </c>
      <c r="F28" s="23">
        <f t="shared" si="0"/>
        <v>189</v>
      </c>
      <c r="G28" s="24">
        <f t="shared" si="1"/>
        <v>567</v>
      </c>
      <c r="H28" s="24">
        <v>12</v>
      </c>
      <c r="I28" s="24">
        <f t="shared" si="2"/>
        <v>-555</v>
      </c>
    </row>
    <row r="29" spans="1:9" x14ac:dyDescent="0.25">
      <c r="A29" s="20">
        <v>26</v>
      </c>
      <c r="B29" s="21" t="s">
        <v>28</v>
      </c>
      <c r="C29" s="21">
        <v>200</v>
      </c>
      <c r="D29" s="22">
        <v>48</v>
      </c>
      <c r="E29" s="22">
        <v>50</v>
      </c>
      <c r="F29" s="23">
        <f t="shared" si="0"/>
        <v>98</v>
      </c>
      <c r="G29" s="24">
        <f t="shared" si="1"/>
        <v>294</v>
      </c>
      <c r="H29" s="24">
        <v>260</v>
      </c>
      <c r="I29" s="24">
        <f t="shared" si="2"/>
        <v>-34</v>
      </c>
    </row>
    <row r="30" spans="1:9" x14ac:dyDescent="0.25">
      <c r="A30" s="20">
        <v>27</v>
      </c>
      <c r="B30" s="21" t="s">
        <v>34</v>
      </c>
      <c r="C30" s="21">
        <v>300</v>
      </c>
      <c r="D30" s="22">
        <v>35</v>
      </c>
      <c r="E30" s="22">
        <v>129</v>
      </c>
      <c r="F30" s="23">
        <f t="shared" si="0"/>
        <v>164</v>
      </c>
      <c r="G30" s="24">
        <f t="shared" si="1"/>
        <v>492</v>
      </c>
      <c r="H30" s="24">
        <v>123</v>
      </c>
      <c r="I30" s="24">
        <f t="shared" si="2"/>
        <v>-369</v>
      </c>
    </row>
    <row r="31" spans="1:9" x14ac:dyDescent="0.25">
      <c r="A31" s="20">
        <v>28</v>
      </c>
      <c r="B31" s="21" t="s">
        <v>36</v>
      </c>
      <c r="C31" s="21">
        <v>300</v>
      </c>
      <c r="D31" s="22">
        <v>35</v>
      </c>
      <c r="E31" s="22">
        <v>117</v>
      </c>
      <c r="F31" s="23">
        <f t="shared" si="0"/>
        <v>152</v>
      </c>
      <c r="G31" s="24">
        <f t="shared" si="1"/>
        <v>456</v>
      </c>
      <c r="H31" s="24">
        <v>184</v>
      </c>
      <c r="I31" s="24">
        <f t="shared" si="2"/>
        <v>-272</v>
      </c>
    </row>
    <row r="32" spans="1:9" x14ac:dyDescent="0.25">
      <c r="A32" s="20">
        <v>29</v>
      </c>
      <c r="B32" s="21" t="s">
        <v>42</v>
      </c>
      <c r="C32" s="21">
        <v>200</v>
      </c>
      <c r="D32" s="22">
        <v>38</v>
      </c>
      <c r="E32" s="22">
        <v>175</v>
      </c>
      <c r="F32" s="23">
        <f t="shared" si="0"/>
        <v>213</v>
      </c>
      <c r="G32" s="24">
        <f t="shared" si="1"/>
        <v>639</v>
      </c>
      <c r="H32" s="24">
        <v>139</v>
      </c>
      <c r="I32" s="24">
        <f t="shared" si="2"/>
        <v>-500</v>
      </c>
    </row>
    <row r="33" spans="1:9" x14ac:dyDescent="0.25">
      <c r="A33" s="20">
        <v>30</v>
      </c>
      <c r="B33" s="21" t="s">
        <v>44</v>
      </c>
      <c r="C33" s="21">
        <v>200</v>
      </c>
      <c r="D33" s="22">
        <v>35</v>
      </c>
      <c r="E33" s="22">
        <v>39</v>
      </c>
      <c r="F33" s="23">
        <f t="shared" si="0"/>
        <v>74</v>
      </c>
      <c r="G33" s="24">
        <f t="shared" si="1"/>
        <v>222</v>
      </c>
      <c r="H33" s="24">
        <v>103</v>
      </c>
      <c r="I33" s="24">
        <f t="shared" si="2"/>
        <v>-119</v>
      </c>
    </row>
    <row r="34" spans="1:9" x14ac:dyDescent="0.25">
      <c r="A34" s="20">
        <v>31</v>
      </c>
      <c r="B34" s="21" t="s">
        <v>50</v>
      </c>
      <c r="C34" s="21">
        <v>100</v>
      </c>
      <c r="D34" s="22">
        <v>51</v>
      </c>
      <c r="E34" s="22">
        <v>81</v>
      </c>
      <c r="F34" s="23">
        <f t="shared" si="0"/>
        <v>132</v>
      </c>
      <c r="G34" s="24">
        <f t="shared" si="1"/>
        <v>396</v>
      </c>
      <c r="H34" s="24">
        <v>54</v>
      </c>
      <c r="I34" s="24">
        <f t="shared" si="2"/>
        <v>-342</v>
      </c>
    </row>
    <row r="35" spans="1:9" x14ac:dyDescent="0.25">
      <c r="A35" s="20">
        <v>32</v>
      </c>
      <c r="B35" s="21" t="s">
        <v>52</v>
      </c>
      <c r="C35" s="21">
        <v>100</v>
      </c>
      <c r="D35" s="22">
        <v>46</v>
      </c>
      <c r="E35" s="22">
        <v>69</v>
      </c>
      <c r="F35" s="23">
        <f t="shared" si="0"/>
        <v>115</v>
      </c>
      <c r="G35" s="24">
        <f t="shared" si="1"/>
        <v>345</v>
      </c>
      <c r="H35" s="24">
        <v>-16</v>
      </c>
      <c r="I35" s="24">
        <f t="shared" si="2"/>
        <v>-361</v>
      </c>
    </row>
    <row r="36" spans="1:9" x14ac:dyDescent="0.25">
      <c r="A36" s="20">
        <v>33</v>
      </c>
      <c r="B36" s="21" t="s">
        <v>58</v>
      </c>
      <c r="C36" s="21">
        <v>100</v>
      </c>
      <c r="D36" s="22">
        <v>32</v>
      </c>
      <c r="E36" s="22">
        <v>8</v>
      </c>
      <c r="F36" s="23">
        <f t="shared" si="0"/>
        <v>40</v>
      </c>
      <c r="G36" s="24">
        <f t="shared" si="1"/>
        <v>120</v>
      </c>
      <c r="H36" s="24">
        <v>32</v>
      </c>
      <c r="I36" s="24">
        <f t="shared" si="2"/>
        <v>-88</v>
      </c>
    </row>
    <row r="37" spans="1:9" x14ac:dyDescent="0.25">
      <c r="A37" s="20">
        <v>34</v>
      </c>
      <c r="B37" s="21" t="s">
        <v>60</v>
      </c>
      <c r="C37" s="21">
        <v>100</v>
      </c>
      <c r="D37" s="22">
        <v>7</v>
      </c>
      <c r="E37" s="22">
        <v>27</v>
      </c>
      <c r="F37" s="23">
        <f t="shared" si="0"/>
        <v>34</v>
      </c>
      <c r="G37" s="24">
        <f t="shared" si="1"/>
        <v>102</v>
      </c>
      <c r="H37" s="24">
        <v>24</v>
      </c>
      <c r="I37" s="24">
        <f t="shared" si="2"/>
        <v>-78</v>
      </c>
    </row>
    <row r="38" spans="1:9" x14ac:dyDescent="0.25">
      <c r="A38" s="20">
        <v>35</v>
      </c>
      <c r="B38" s="21" t="s">
        <v>198</v>
      </c>
      <c r="C38" s="21">
        <v>100</v>
      </c>
      <c r="D38" s="22">
        <v>35</v>
      </c>
      <c r="E38" s="22">
        <v>13</v>
      </c>
      <c r="F38" s="23">
        <f t="shared" si="0"/>
        <v>48</v>
      </c>
      <c r="G38" s="24">
        <f t="shared" si="1"/>
        <v>144</v>
      </c>
      <c r="H38" s="24">
        <v>2</v>
      </c>
      <c r="I38" s="24">
        <f t="shared" si="2"/>
        <v>-142</v>
      </c>
    </row>
    <row r="39" spans="1:9" x14ac:dyDescent="0.25">
      <c r="A39" s="20">
        <v>36</v>
      </c>
      <c r="B39" s="21" t="s">
        <v>200</v>
      </c>
      <c r="C39" s="21">
        <v>100</v>
      </c>
      <c r="D39" s="22">
        <v>17</v>
      </c>
      <c r="E39" s="22">
        <v>7</v>
      </c>
      <c r="F39" s="23">
        <f t="shared" si="0"/>
        <v>24</v>
      </c>
      <c r="G39" s="24">
        <f t="shared" si="1"/>
        <v>72</v>
      </c>
      <c r="H39" s="24"/>
      <c r="I39" s="24"/>
    </row>
    <row r="40" spans="1:9" x14ac:dyDescent="0.25">
      <c r="A40" s="20">
        <v>37</v>
      </c>
      <c r="B40" s="21" t="s">
        <v>210</v>
      </c>
      <c r="C40" s="21">
        <v>50</v>
      </c>
      <c r="D40" s="22">
        <v>2</v>
      </c>
      <c r="E40" s="22">
        <v>30</v>
      </c>
      <c r="F40" s="23">
        <f t="shared" si="0"/>
        <v>32</v>
      </c>
      <c r="G40" s="24">
        <f t="shared" si="1"/>
        <v>96</v>
      </c>
      <c r="H40" s="24"/>
      <c r="I40" s="24"/>
    </row>
    <row r="41" spans="1:9" x14ac:dyDescent="0.25">
      <c r="A41" s="20">
        <v>38</v>
      </c>
      <c r="B41" s="21" t="s">
        <v>212</v>
      </c>
      <c r="C41" s="21">
        <v>50</v>
      </c>
      <c r="D41" s="22">
        <v>3</v>
      </c>
      <c r="E41" s="22">
        <v>5</v>
      </c>
      <c r="F41" s="23">
        <f t="shared" si="0"/>
        <v>8</v>
      </c>
      <c r="G41" s="24">
        <f t="shared" si="1"/>
        <v>24</v>
      </c>
      <c r="H41" s="24">
        <v>4</v>
      </c>
      <c r="I41" s="24">
        <f>H41-G41</f>
        <v>-20</v>
      </c>
    </row>
    <row r="42" spans="1:9" x14ac:dyDescent="0.25">
      <c r="A42" s="20">
        <v>39</v>
      </c>
      <c r="B42" s="21" t="s">
        <v>202</v>
      </c>
      <c r="C42" s="21">
        <v>50</v>
      </c>
      <c r="D42" s="22">
        <v>10</v>
      </c>
      <c r="E42" s="22">
        <v>12</v>
      </c>
      <c r="F42" s="23">
        <f t="shared" si="0"/>
        <v>22</v>
      </c>
      <c r="G42" s="24">
        <f t="shared" si="1"/>
        <v>66</v>
      </c>
      <c r="H42" s="24">
        <v>34</v>
      </c>
      <c r="I42" s="24">
        <f t="shared" si="2"/>
        <v>-32</v>
      </c>
    </row>
    <row r="43" spans="1:9" x14ac:dyDescent="0.25">
      <c r="A43" s="20">
        <v>40</v>
      </c>
      <c r="B43" s="21" t="s">
        <v>204</v>
      </c>
      <c r="C43" s="21">
        <v>50</v>
      </c>
      <c r="D43" s="22">
        <v>10</v>
      </c>
      <c r="E43" s="22">
        <v>24</v>
      </c>
      <c r="F43" s="23">
        <f t="shared" si="0"/>
        <v>34</v>
      </c>
      <c r="G43" s="24">
        <f t="shared" si="1"/>
        <v>102</v>
      </c>
      <c r="H43" s="24">
        <v>-8</v>
      </c>
      <c r="I43" s="24">
        <f t="shared" si="2"/>
        <v>-110</v>
      </c>
    </row>
    <row r="44" spans="1:9" x14ac:dyDescent="0.25">
      <c r="A44" s="20">
        <v>41</v>
      </c>
      <c r="B44" s="21" t="s">
        <v>206</v>
      </c>
      <c r="C44" s="21">
        <v>30</v>
      </c>
      <c r="D44" s="22">
        <v>0</v>
      </c>
      <c r="E44" s="22">
        <v>12</v>
      </c>
      <c r="F44" s="23">
        <f t="shared" si="0"/>
        <v>12</v>
      </c>
      <c r="G44" s="24">
        <f t="shared" si="1"/>
        <v>36</v>
      </c>
      <c r="H44" s="24">
        <v>14</v>
      </c>
      <c r="I44" s="24">
        <f t="shared" si="2"/>
        <v>-22</v>
      </c>
    </row>
    <row r="45" spans="1:9" x14ac:dyDescent="0.25">
      <c r="A45" s="20">
        <v>42</v>
      </c>
      <c r="B45" s="21" t="s">
        <v>208</v>
      </c>
      <c r="C45" s="21">
        <v>30</v>
      </c>
      <c r="D45" s="22">
        <v>0</v>
      </c>
      <c r="E45" s="22">
        <v>0</v>
      </c>
      <c r="F45" s="23">
        <f t="shared" si="0"/>
        <v>0</v>
      </c>
      <c r="G45" s="24">
        <f t="shared" si="1"/>
        <v>0</v>
      </c>
      <c r="H45" s="24">
        <v>5</v>
      </c>
      <c r="I45" s="24">
        <f t="shared" si="2"/>
        <v>5</v>
      </c>
    </row>
    <row r="46" spans="1:9" x14ac:dyDescent="0.25">
      <c r="A46" s="20">
        <v>43</v>
      </c>
      <c r="B46" s="21" t="s">
        <v>150</v>
      </c>
      <c r="C46" s="21">
        <v>50</v>
      </c>
      <c r="D46" s="22">
        <v>0</v>
      </c>
      <c r="E46" s="22">
        <v>14</v>
      </c>
      <c r="F46" s="23">
        <f t="shared" si="0"/>
        <v>14</v>
      </c>
      <c r="G46" s="24">
        <f t="shared" si="1"/>
        <v>42</v>
      </c>
      <c r="H46" s="24">
        <v>50</v>
      </c>
      <c r="I46" s="24">
        <f t="shared" si="2"/>
        <v>8</v>
      </c>
    </row>
    <row r="47" spans="1:9" x14ac:dyDescent="0.25">
      <c r="A47" s="20">
        <v>44</v>
      </c>
      <c r="B47" s="21" t="s">
        <v>152</v>
      </c>
      <c r="C47" s="21">
        <v>50</v>
      </c>
      <c r="D47" s="22">
        <v>2</v>
      </c>
      <c r="E47" s="22">
        <v>4</v>
      </c>
      <c r="F47" s="23">
        <f t="shared" si="0"/>
        <v>6</v>
      </c>
      <c r="G47" s="24">
        <f t="shared" si="1"/>
        <v>18</v>
      </c>
      <c r="H47" s="24">
        <v>28</v>
      </c>
      <c r="I47" s="24">
        <f t="shared" si="2"/>
        <v>10</v>
      </c>
    </row>
    <row r="48" spans="1:9" x14ac:dyDescent="0.25">
      <c r="A48" s="20">
        <v>45</v>
      </c>
      <c r="B48" s="21" t="s">
        <v>154</v>
      </c>
      <c r="C48" s="21">
        <v>30</v>
      </c>
      <c r="D48" s="22">
        <v>3</v>
      </c>
      <c r="E48" s="22">
        <v>8</v>
      </c>
      <c r="F48" s="23">
        <f t="shared" si="0"/>
        <v>11</v>
      </c>
      <c r="G48" s="24">
        <f t="shared" si="1"/>
        <v>33</v>
      </c>
      <c r="H48" s="24">
        <v>11</v>
      </c>
      <c r="I48" s="24">
        <f t="shared" si="2"/>
        <v>-22</v>
      </c>
    </row>
    <row r="49" spans="1:9" x14ac:dyDescent="0.25">
      <c r="A49" s="20">
        <v>46</v>
      </c>
      <c r="B49" s="21" t="s">
        <v>156</v>
      </c>
      <c r="C49" s="21">
        <v>30</v>
      </c>
      <c r="D49" s="22">
        <v>2</v>
      </c>
      <c r="E49" s="22">
        <v>4</v>
      </c>
      <c r="F49" s="23">
        <f t="shared" si="0"/>
        <v>6</v>
      </c>
      <c r="G49" s="24">
        <f t="shared" si="1"/>
        <v>18</v>
      </c>
      <c r="H49" s="24">
        <v>1</v>
      </c>
      <c r="I49" s="24">
        <f t="shared" si="2"/>
        <v>-17</v>
      </c>
    </row>
    <row r="50" spans="1:9" x14ac:dyDescent="0.25">
      <c r="A50" s="20">
        <v>47</v>
      </c>
      <c r="B50" s="21" t="s">
        <v>158</v>
      </c>
      <c r="C50" s="21">
        <v>20</v>
      </c>
      <c r="D50" s="22">
        <v>0</v>
      </c>
      <c r="E50" s="22">
        <v>7</v>
      </c>
      <c r="F50" s="23">
        <f t="shared" si="0"/>
        <v>7</v>
      </c>
      <c r="G50" s="24">
        <f t="shared" si="1"/>
        <v>21</v>
      </c>
      <c r="H50" s="24">
        <v>11</v>
      </c>
      <c r="I50" s="24">
        <f t="shared" si="2"/>
        <v>-10</v>
      </c>
    </row>
    <row r="51" spans="1:9" x14ac:dyDescent="0.25">
      <c r="A51" s="20">
        <v>48</v>
      </c>
      <c r="B51" s="21" t="s">
        <v>160</v>
      </c>
      <c r="C51" s="21">
        <v>20</v>
      </c>
      <c r="D51" s="22">
        <v>0</v>
      </c>
      <c r="E51" s="22">
        <v>1</v>
      </c>
      <c r="F51" s="23">
        <f t="shared" si="0"/>
        <v>1</v>
      </c>
      <c r="G51" s="24">
        <f t="shared" si="1"/>
        <v>3</v>
      </c>
      <c r="H51" s="24">
        <v>13</v>
      </c>
      <c r="I51" s="24">
        <f t="shared" si="2"/>
        <v>10</v>
      </c>
    </row>
    <row r="52" spans="1:9" x14ac:dyDescent="0.25">
      <c r="A52" s="20">
        <v>49</v>
      </c>
      <c r="B52" s="21" t="s">
        <v>226</v>
      </c>
      <c r="C52" s="21">
        <v>50</v>
      </c>
      <c r="D52" s="22">
        <v>3</v>
      </c>
      <c r="E52" s="22">
        <v>14</v>
      </c>
      <c r="F52" s="23">
        <f t="shared" si="0"/>
        <v>17</v>
      </c>
      <c r="G52" s="24">
        <f t="shared" si="1"/>
        <v>51</v>
      </c>
      <c r="H52" s="24">
        <v>42</v>
      </c>
      <c r="I52" s="24">
        <f t="shared" si="2"/>
        <v>-9</v>
      </c>
    </row>
    <row r="53" spans="1:9" x14ac:dyDescent="0.25">
      <c r="A53" s="20">
        <v>50</v>
      </c>
      <c r="B53" s="21" t="s">
        <v>228</v>
      </c>
      <c r="C53" s="21">
        <v>50</v>
      </c>
      <c r="D53" s="22">
        <v>5</v>
      </c>
      <c r="E53" s="22">
        <v>19</v>
      </c>
      <c r="F53" s="23">
        <f t="shared" si="0"/>
        <v>24</v>
      </c>
      <c r="G53" s="24">
        <f t="shared" si="1"/>
        <v>72</v>
      </c>
      <c r="H53" s="24">
        <v>15</v>
      </c>
      <c r="I53" s="24">
        <f t="shared" si="2"/>
        <v>-57</v>
      </c>
    </row>
    <row r="54" spans="1:9" x14ac:dyDescent="0.25">
      <c r="A54" s="20">
        <v>51</v>
      </c>
      <c r="B54" s="21" t="s">
        <v>230</v>
      </c>
      <c r="C54" s="21">
        <v>50</v>
      </c>
      <c r="D54" s="22">
        <v>0</v>
      </c>
      <c r="E54" s="22">
        <v>0</v>
      </c>
      <c r="F54" s="23">
        <f t="shared" si="0"/>
        <v>0</v>
      </c>
      <c r="G54" s="24">
        <f t="shared" si="1"/>
        <v>0</v>
      </c>
      <c r="H54" s="24">
        <v>45</v>
      </c>
      <c r="I54" s="24">
        <f t="shared" si="2"/>
        <v>45</v>
      </c>
    </row>
    <row r="55" spans="1:9" x14ac:dyDescent="0.25">
      <c r="A55" s="20">
        <v>52</v>
      </c>
      <c r="B55" s="21" t="s">
        <v>231</v>
      </c>
      <c r="C55" s="21">
        <v>50</v>
      </c>
      <c r="D55" s="22">
        <v>0</v>
      </c>
      <c r="E55" s="22">
        <v>27</v>
      </c>
      <c r="F55" s="23">
        <f t="shared" si="0"/>
        <v>27</v>
      </c>
      <c r="G55" s="24">
        <f t="shared" si="1"/>
        <v>81</v>
      </c>
      <c r="H55" s="24">
        <v>14</v>
      </c>
      <c r="I55" s="24">
        <f t="shared" si="2"/>
        <v>-67</v>
      </c>
    </row>
    <row r="56" spans="1:9" x14ac:dyDescent="0.25">
      <c r="A56" s="20">
        <v>53</v>
      </c>
      <c r="B56" s="21" t="s">
        <v>232</v>
      </c>
      <c r="C56" s="21">
        <v>20</v>
      </c>
      <c r="D56" s="22">
        <v>0</v>
      </c>
      <c r="E56" s="22">
        <v>31</v>
      </c>
      <c r="F56" s="23">
        <f t="shared" si="0"/>
        <v>31</v>
      </c>
      <c r="G56" s="24">
        <f t="shared" si="1"/>
        <v>93</v>
      </c>
      <c r="H56" s="24"/>
      <c r="I56" s="24"/>
    </row>
    <row r="57" spans="1:9" x14ac:dyDescent="0.25">
      <c r="A57" s="20">
        <v>54</v>
      </c>
      <c r="B57" s="21" t="s">
        <v>233</v>
      </c>
      <c r="C57" s="21">
        <v>20</v>
      </c>
      <c r="D57" s="22">
        <v>0</v>
      </c>
      <c r="E57" s="22">
        <v>6</v>
      </c>
      <c r="F57" s="23">
        <f t="shared" si="0"/>
        <v>6</v>
      </c>
      <c r="G57" s="24">
        <f t="shared" si="1"/>
        <v>18</v>
      </c>
      <c r="H57" s="24">
        <v>28</v>
      </c>
      <c r="I57" s="24">
        <f>H57-G57</f>
        <v>10</v>
      </c>
    </row>
    <row r="58" spans="1:9" x14ac:dyDescent="0.25">
      <c r="A58" s="20">
        <v>55</v>
      </c>
      <c r="B58" s="25" t="s">
        <v>133</v>
      </c>
      <c r="C58" s="25">
        <v>200</v>
      </c>
      <c r="D58" s="22">
        <v>95</v>
      </c>
      <c r="E58" s="22">
        <v>43</v>
      </c>
      <c r="F58" s="23">
        <f t="shared" si="0"/>
        <v>138</v>
      </c>
      <c r="G58" s="24">
        <f t="shared" si="1"/>
        <v>414</v>
      </c>
      <c r="H58" s="24">
        <v>130</v>
      </c>
      <c r="I58" s="24">
        <f t="shared" ref="I58:I102" si="3">H58-G58</f>
        <v>-284</v>
      </c>
    </row>
    <row r="59" spans="1:9" x14ac:dyDescent="0.25">
      <c r="A59" s="20">
        <v>56</v>
      </c>
      <c r="B59" s="25" t="s">
        <v>135</v>
      </c>
      <c r="C59" s="25">
        <v>200</v>
      </c>
      <c r="D59" s="22">
        <v>102</v>
      </c>
      <c r="E59" s="22">
        <v>6</v>
      </c>
      <c r="F59" s="23">
        <f t="shared" si="0"/>
        <v>108</v>
      </c>
      <c r="G59" s="24">
        <f t="shared" si="1"/>
        <v>324</v>
      </c>
      <c r="H59" s="24">
        <v>91</v>
      </c>
      <c r="I59" s="24">
        <f t="shared" si="3"/>
        <v>-233</v>
      </c>
    </row>
    <row r="60" spans="1:9" x14ac:dyDescent="0.25">
      <c r="A60" s="20">
        <v>57</v>
      </c>
      <c r="B60" s="25" t="s">
        <v>137</v>
      </c>
      <c r="C60" s="25">
        <v>50</v>
      </c>
      <c r="D60" s="22">
        <v>20</v>
      </c>
      <c r="E60" s="22">
        <v>18</v>
      </c>
      <c r="F60" s="23">
        <f t="shared" si="0"/>
        <v>38</v>
      </c>
      <c r="G60" s="24">
        <f t="shared" si="1"/>
        <v>114</v>
      </c>
      <c r="H60" s="24">
        <v>26</v>
      </c>
      <c r="I60" s="24">
        <f t="shared" si="3"/>
        <v>-88</v>
      </c>
    </row>
    <row r="61" spans="1:9" x14ac:dyDescent="0.25">
      <c r="A61" s="20">
        <v>58</v>
      </c>
      <c r="B61" s="25" t="s">
        <v>139</v>
      </c>
      <c r="C61" s="25">
        <v>50</v>
      </c>
      <c r="D61" s="22">
        <v>12</v>
      </c>
      <c r="E61" s="22">
        <v>25</v>
      </c>
      <c r="F61" s="23">
        <f t="shared" si="0"/>
        <v>37</v>
      </c>
      <c r="G61" s="24">
        <f t="shared" si="1"/>
        <v>111</v>
      </c>
      <c r="H61" s="24">
        <v>17</v>
      </c>
      <c r="I61" s="24">
        <f t="shared" si="3"/>
        <v>-94</v>
      </c>
    </row>
    <row r="62" spans="1:9" x14ac:dyDescent="0.25">
      <c r="A62" s="20">
        <v>59</v>
      </c>
      <c r="B62" s="25" t="s">
        <v>169</v>
      </c>
      <c r="C62" s="25">
        <v>100</v>
      </c>
      <c r="D62" s="22">
        <v>29</v>
      </c>
      <c r="E62" s="22">
        <v>29</v>
      </c>
      <c r="F62" s="23">
        <f t="shared" si="0"/>
        <v>58</v>
      </c>
      <c r="G62" s="24">
        <f t="shared" si="1"/>
        <v>174</v>
      </c>
      <c r="H62" s="24">
        <v>43</v>
      </c>
      <c r="I62" s="24">
        <f t="shared" si="3"/>
        <v>-131</v>
      </c>
    </row>
    <row r="63" spans="1:9" x14ac:dyDescent="0.25">
      <c r="A63" s="20">
        <v>60</v>
      </c>
      <c r="B63" s="25" t="s">
        <v>171</v>
      </c>
      <c r="C63" s="25">
        <v>100</v>
      </c>
      <c r="D63" s="22">
        <v>30</v>
      </c>
      <c r="E63" s="22">
        <v>0</v>
      </c>
      <c r="F63" s="23">
        <f t="shared" si="0"/>
        <v>30</v>
      </c>
      <c r="G63" s="24">
        <f t="shared" si="1"/>
        <v>90</v>
      </c>
      <c r="H63" s="24">
        <v>33</v>
      </c>
      <c r="I63" s="24">
        <f t="shared" si="3"/>
        <v>-57</v>
      </c>
    </row>
    <row r="64" spans="1:9" x14ac:dyDescent="0.25">
      <c r="A64" s="20">
        <v>61</v>
      </c>
      <c r="B64" s="25" t="s">
        <v>173</v>
      </c>
      <c r="C64" s="25">
        <v>50</v>
      </c>
      <c r="D64" s="20">
        <v>0</v>
      </c>
      <c r="E64" s="20">
        <v>0</v>
      </c>
      <c r="F64" s="23">
        <f t="shared" si="0"/>
        <v>0</v>
      </c>
      <c r="G64" s="24">
        <f t="shared" si="1"/>
        <v>0</v>
      </c>
      <c r="H64" s="24">
        <v>14</v>
      </c>
      <c r="I64" s="24">
        <f t="shared" si="3"/>
        <v>14</v>
      </c>
    </row>
    <row r="65" spans="1:9" x14ac:dyDescent="0.25">
      <c r="A65" s="20">
        <v>62</v>
      </c>
      <c r="B65" s="25" t="s">
        <v>175</v>
      </c>
      <c r="C65" s="25">
        <v>50</v>
      </c>
      <c r="D65" s="22">
        <v>0</v>
      </c>
      <c r="E65" s="22">
        <v>6</v>
      </c>
      <c r="F65" s="23">
        <f t="shared" si="0"/>
        <v>6</v>
      </c>
      <c r="G65" s="24">
        <f t="shared" si="1"/>
        <v>18</v>
      </c>
      <c r="H65" s="24">
        <v>16</v>
      </c>
      <c r="I65" s="24">
        <f t="shared" si="3"/>
        <v>-2</v>
      </c>
    </row>
    <row r="66" spans="1:9" x14ac:dyDescent="0.25">
      <c r="A66" s="20">
        <v>63</v>
      </c>
      <c r="B66" s="25" t="s">
        <v>153</v>
      </c>
      <c r="C66" s="25">
        <v>100</v>
      </c>
      <c r="D66" s="22">
        <v>30</v>
      </c>
      <c r="E66" s="22">
        <v>24</v>
      </c>
      <c r="F66" s="23">
        <f t="shared" si="0"/>
        <v>54</v>
      </c>
      <c r="G66" s="24">
        <f t="shared" si="1"/>
        <v>162</v>
      </c>
      <c r="H66" s="24">
        <v>33</v>
      </c>
      <c r="I66" s="24">
        <f t="shared" si="3"/>
        <v>-129</v>
      </c>
    </row>
    <row r="67" spans="1:9" x14ac:dyDescent="0.25">
      <c r="A67" s="20">
        <v>64</v>
      </c>
      <c r="B67" s="25" t="s">
        <v>155</v>
      </c>
      <c r="C67" s="25">
        <v>100</v>
      </c>
      <c r="D67" s="22">
        <v>10</v>
      </c>
      <c r="E67" s="22">
        <v>2</v>
      </c>
      <c r="F67" s="23">
        <f t="shared" si="0"/>
        <v>12</v>
      </c>
      <c r="G67" s="24">
        <f t="shared" si="1"/>
        <v>36</v>
      </c>
      <c r="H67" s="24">
        <v>94</v>
      </c>
      <c r="I67" s="24">
        <f t="shared" si="3"/>
        <v>58</v>
      </c>
    </row>
    <row r="68" spans="1:9" x14ac:dyDescent="0.25">
      <c r="A68" s="20">
        <v>65</v>
      </c>
      <c r="B68" s="25" t="s">
        <v>157</v>
      </c>
      <c r="C68" s="25">
        <v>30</v>
      </c>
      <c r="D68" s="22">
        <v>0</v>
      </c>
      <c r="E68" s="22">
        <v>3</v>
      </c>
      <c r="F68" s="23">
        <f t="shared" si="0"/>
        <v>3</v>
      </c>
      <c r="G68" s="24">
        <f t="shared" si="1"/>
        <v>9</v>
      </c>
      <c r="H68" s="24">
        <v>60</v>
      </c>
      <c r="I68" s="24">
        <f t="shared" si="3"/>
        <v>51</v>
      </c>
    </row>
    <row r="69" spans="1:9" x14ac:dyDescent="0.25">
      <c r="A69" s="20">
        <v>66</v>
      </c>
      <c r="B69" s="25" t="s">
        <v>159</v>
      </c>
      <c r="C69" s="25">
        <v>30</v>
      </c>
      <c r="D69" s="20">
        <v>0</v>
      </c>
      <c r="E69" s="20">
        <v>0</v>
      </c>
      <c r="F69" s="23">
        <f t="shared" ref="F69:F132" si="4">D69+E69</f>
        <v>0</v>
      </c>
      <c r="G69" s="24">
        <f t="shared" ref="G69:G132" si="5">F69*3</f>
        <v>0</v>
      </c>
      <c r="H69" s="24">
        <v>4</v>
      </c>
      <c r="I69" s="24">
        <f t="shared" si="3"/>
        <v>4</v>
      </c>
    </row>
    <row r="70" spans="1:9" x14ac:dyDescent="0.25">
      <c r="A70" s="20">
        <v>67</v>
      </c>
      <c r="B70" s="25" t="s">
        <v>185</v>
      </c>
      <c r="C70" s="25">
        <v>50</v>
      </c>
      <c r="D70" s="22">
        <v>0</v>
      </c>
      <c r="E70" s="22">
        <v>11</v>
      </c>
      <c r="F70" s="23">
        <f t="shared" si="4"/>
        <v>11</v>
      </c>
      <c r="G70" s="24">
        <f t="shared" si="5"/>
        <v>33</v>
      </c>
      <c r="H70" s="24">
        <v>2</v>
      </c>
      <c r="I70" s="24">
        <f t="shared" si="3"/>
        <v>-31</v>
      </c>
    </row>
    <row r="71" spans="1:9" x14ac:dyDescent="0.25">
      <c r="A71" s="20">
        <v>68</v>
      </c>
      <c r="B71" s="25" t="s">
        <v>187</v>
      </c>
      <c r="C71" s="25">
        <v>50</v>
      </c>
      <c r="D71" s="20">
        <v>0</v>
      </c>
      <c r="E71" s="20">
        <v>0</v>
      </c>
      <c r="F71" s="23">
        <f t="shared" si="4"/>
        <v>0</v>
      </c>
      <c r="G71" s="24">
        <f t="shared" si="5"/>
        <v>0</v>
      </c>
      <c r="H71" s="24">
        <v>30</v>
      </c>
      <c r="I71" s="24">
        <f t="shared" si="3"/>
        <v>30</v>
      </c>
    </row>
    <row r="72" spans="1:9" x14ac:dyDescent="0.25">
      <c r="A72" s="20">
        <v>69</v>
      </c>
      <c r="B72" s="25" t="s">
        <v>205</v>
      </c>
      <c r="C72" s="25">
        <v>50</v>
      </c>
      <c r="D72" s="22">
        <v>10</v>
      </c>
      <c r="E72" s="22">
        <v>5</v>
      </c>
      <c r="F72" s="23">
        <f t="shared" si="4"/>
        <v>15</v>
      </c>
      <c r="G72" s="24">
        <f t="shared" si="5"/>
        <v>45</v>
      </c>
      <c r="H72" s="24">
        <v>26</v>
      </c>
      <c r="I72" s="24">
        <f t="shared" si="3"/>
        <v>-19</v>
      </c>
    </row>
    <row r="73" spans="1:9" x14ac:dyDescent="0.25">
      <c r="A73" s="20">
        <v>70</v>
      </c>
      <c r="B73" s="25" t="s">
        <v>207</v>
      </c>
      <c r="C73" s="25">
        <v>50</v>
      </c>
      <c r="D73" s="22">
        <v>10</v>
      </c>
      <c r="E73" s="22">
        <v>5</v>
      </c>
      <c r="F73" s="23">
        <f t="shared" si="4"/>
        <v>15</v>
      </c>
      <c r="G73" s="24">
        <f t="shared" si="5"/>
        <v>45</v>
      </c>
      <c r="H73" s="24">
        <v>13</v>
      </c>
      <c r="I73" s="24">
        <f t="shared" si="3"/>
        <v>-32</v>
      </c>
    </row>
    <row r="74" spans="1:9" x14ac:dyDescent="0.25">
      <c r="A74" s="20">
        <v>71</v>
      </c>
      <c r="B74" s="25" t="s">
        <v>276</v>
      </c>
      <c r="C74" s="25">
        <v>30</v>
      </c>
      <c r="D74" s="22">
        <v>0</v>
      </c>
      <c r="E74" s="22">
        <v>12</v>
      </c>
      <c r="F74" s="23">
        <f t="shared" si="4"/>
        <v>12</v>
      </c>
      <c r="G74" s="24">
        <f t="shared" si="5"/>
        <v>36</v>
      </c>
      <c r="H74" s="24">
        <v>30</v>
      </c>
      <c r="I74" s="24">
        <f t="shared" si="3"/>
        <v>-6</v>
      </c>
    </row>
    <row r="75" spans="1:9" x14ac:dyDescent="0.25">
      <c r="A75" s="20">
        <v>72</v>
      </c>
      <c r="B75" s="25" t="s">
        <v>277</v>
      </c>
      <c r="C75" s="25">
        <v>30</v>
      </c>
      <c r="D75" s="22">
        <v>5</v>
      </c>
      <c r="E75" s="22">
        <v>11</v>
      </c>
      <c r="F75" s="23">
        <f t="shared" si="4"/>
        <v>16</v>
      </c>
      <c r="G75" s="24">
        <f t="shared" si="5"/>
        <v>48</v>
      </c>
      <c r="H75" s="24">
        <v>9</v>
      </c>
      <c r="I75" s="24">
        <f t="shared" si="3"/>
        <v>-39</v>
      </c>
    </row>
    <row r="76" spans="1:9" x14ac:dyDescent="0.25">
      <c r="A76" s="20">
        <v>73</v>
      </c>
      <c r="B76" s="25" t="s">
        <v>278</v>
      </c>
      <c r="C76" s="25">
        <v>20</v>
      </c>
      <c r="D76" s="22">
        <v>5</v>
      </c>
      <c r="E76" s="22">
        <v>12</v>
      </c>
      <c r="F76" s="23">
        <f t="shared" si="4"/>
        <v>17</v>
      </c>
      <c r="G76" s="24">
        <f t="shared" si="5"/>
        <v>51</v>
      </c>
      <c r="H76" s="24">
        <v>19</v>
      </c>
      <c r="I76" s="24">
        <f t="shared" si="3"/>
        <v>-32</v>
      </c>
    </row>
    <row r="77" spans="1:9" ht="14.25" customHeight="1" x14ac:dyDescent="0.25">
      <c r="A77" s="20">
        <v>74</v>
      </c>
      <c r="B77" s="25" t="s">
        <v>279</v>
      </c>
      <c r="C77" s="25">
        <v>20</v>
      </c>
      <c r="D77" s="22">
        <v>0</v>
      </c>
      <c r="E77" s="22">
        <v>3</v>
      </c>
      <c r="F77" s="23">
        <f t="shared" si="4"/>
        <v>3</v>
      </c>
      <c r="G77" s="24">
        <f t="shared" si="5"/>
        <v>9</v>
      </c>
      <c r="H77" s="24">
        <v>6</v>
      </c>
      <c r="I77" s="24">
        <f t="shared" si="3"/>
        <v>-3</v>
      </c>
    </row>
    <row r="78" spans="1:9" x14ac:dyDescent="0.25">
      <c r="A78" s="20">
        <v>75</v>
      </c>
      <c r="B78" s="25" t="s">
        <v>280</v>
      </c>
      <c r="C78" s="25">
        <v>10</v>
      </c>
      <c r="D78" s="22">
        <v>0</v>
      </c>
      <c r="E78" s="22">
        <v>4</v>
      </c>
      <c r="F78" s="23">
        <f t="shared" si="4"/>
        <v>4</v>
      </c>
      <c r="G78" s="24">
        <f t="shared" si="5"/>
        <v>12</v>
      </c>
      <c r="H78" s="24">
        <v>17</v>
      </c>
      <c r="I78" s="24">
        <f t="shared" si="3"/>
        <v>5</v>
      </c>
    </row>
    <row r="79" spans="1:9" x14ac:dyDescent="0.25">
      <c r="A79" s="20">
        <v>76</v>
      </c>
      <c r="B79" s="25" t="s">
        <v>281</v>
      </c>
      <c r="C79" s="25">
        <v>10</v>
      </c>
      <c r="D79" s="22">
        <v>0</v>
      </c>
      <c r="E79" s="22">
        <v>7</v>
      </c>
      <c r="F79" s="23">
        <f t="shared" si="4"/>
        <v>7</v>
      </c>
      <c r="G79" s="24">
        <f t="shared" si="5"/>
        <v>21</v>
      </c>
      <c r="H79" s="24">
        <v>9</v>
      </c>
      <c r="I79" s="24">
        <f t="shared" si="3"/>
        <v>-12</v>
      </c>
    </row>
    <row r="80" spans="1:9" x14ac:dyDescent="0.25">
      <c r="A80" s="20">
        <v>77</v>
      </c>
      <c r="B80" s="25" t="s">
        <v>282</v>
      </c>
      <c r="C80" s="25">
        <v>30</v>
      </c>
      <c r="D80" s="22">
        <v>1</v>
      </c>
      <c r="E80" s="22">
        <v>4</v>
      </c>
      <c r="F80" s="23">
        <f t="shared" si="4"/>
        <v>5</v>
      </c>
      <c r="G80" s="24">
        <f t="shared" si="5"/>
        <v>15</v>
      </c>
      <c r="H80" s="24">
        <v>13</v>
      </c>
      <c r="I80" s="24">
        <f t="shared" si="3"/>
        <v>-2</v>
      </c>
    </row>
    <row r="81" spans="1:9" x14ac:dyDescent="0.25">
      <c r="A81" s="20">
        <v>78</v>
      </c>
      <c r="B81" s="25" t="s">
        <v>283</v>
      </c>
      <c r="C81" s="25">
        <v>30</v>
      </c>
      <c r="D81" s="22">
        <v>0</v>
      </c>
      <c r="E81" s="22">
        <v>1</v>
      </c>
      <c r="F81" s="23">
        <f t="shared" si="4"/>
        <v>1</v>
      </c>
      <c r="G81" s="24">
        <f t="shared" si="5"/>
        <v>3</v>
      </c>
      <c r="H81" s="24">
        <v>28</v>
      </c>
      <c r="I81" s="24">
        <f t="shared" si="3"/>
        <v>25</v>
      </c>
    </row>
    <row r="82" spans="1:9" x14ac:dyDescent="0.25">
      <c r="A82" s="20">
        <v>79</v>
      </c>
      <c r="B82" s="25" t="s">
        <v>284</v>
      </c>
      <c r="C82" s="25">
        <v>20</v>
      </c>
      <c r="D82" s="22">
        <v>0</v>
      </c>
      <c r="E82" s="22">
        <v>10</v>
      </c>
      <c r="F82" s="23">
        <f t="shared" si="4"/>
        <v>10</v>
      </c>
      <c r="G82" s="24">
        <f t="shared" si="5"/>
        <v>30</v>
      </c>
      <c r="H82" s="24">
        <v>3</v>
      </c>
      <c r="I82" s="24">
        <f t="shared" si="3"/>
        <v>-27</v>
      </c>
    </row>
    <row r="83" spans="1:9" x14ac:dyDescent="0.25">
      <c r="A83" s="20">
        <v>80</v>
      </c>
      <c r="B83" s="25" t="s">
        <v>285</v>
      </c>
      <c r="C83" s="25">
        <v>20</v>
      </c>
      <c r="D83" s="22">
        <v>0</v>
      </c>
      <c r="E83" s="22">
        <v>5</v>
      </c>
      <c r="F83" s="23">
        <f t="shared" si="4"/>
        <v>5</v>
      </c>
      <c r="G83" s="24">
        <f t="shared" si="5"/>
        <v>15</v>
      </c>
      <c r="H83" s="24">
        <v>11</v>
      </c>
      <c r="I83" s="24">
        <f t="shared" si="3"/>
        <v>-4</v>
      </c>
    </row>
    <row r="84" spans="1:9" x14ac:dyDescent="0.25">
      <c r="A84" s="20">
        <v>81</v>
      </c>
      <c r="B84" s="25" t="s">
        <v>292</v>
      </c>
      <c r="C84" s="25">
        <v>10</v>
      </c>
      <c r="D84" s="20">
        <v>0</v>
      </c>
      <c r="E84" s="20">
        <v>0</v>
      </c>
      <c r="F84" s="23">
        <f t="shared" si="4"/>
        <v>0</v>
      </c>
      <c r="G84" s="24">
        <f t="shared" si="5"/>
        <v>0</v>
      </c>
      <c r="H84" s="24">
        <v>20</v>
      </c>
      <c r="I84" s="24">
        <f t="shared" si="3"/>
        <v>20</v>
      </c>
    </row>
    <row r="85" spans="1:9" x14ac:dyDescent="0.25">
      <c r="A85" s="20">
        <v>82</v>
      </c>
      <c r="B85" s="25" t="s">
        <v>293</v>
      </c>
      <c r="C85" s="25">
        <v>10</v>
      </c>
      <c r="D85" s="22">
        <v>0</v>
      </c>
      <c r="E85" s="22">
        <v>2</v>
      </c>
      <c r="F85" s="23">
        <f t="shared" si="4"/>
        <v>2</v>
      </c>
      <c r="G85" s="24">
        <f t="shared" si="5"/>
        <v>6</v>
      </c>
      <c r="H85" s="24">
        <v>7</v>
      </c>
      <c r="I85" s="24">
        <f t="shared" si="3"/>
        <v>1</v>
      </c>
    </row>
    <row r="86" spans="1:9" x14ac:dyDescent="0.25">
      <c r="A86" s="20">
        <v>83</v>
      </c>
      <c r="B86" s="21" t="s">
        <v>125</v>
      </c>
      <c r="C86" s="21">
        <v>200</v>
      </c>
      <c r="D86" s="22">
        <v>21</v>
      </c>
      <c r="E86" s="22">
        <v>38</v>
      </c>
      <c r="F86" s="23">
        <f t="shared" si="4"/>
        <v>59</v>
      </c>
      <c r="G86" s="24">
        <f t="shared" si="5"/>
        <v>177</v>
      </c>
      <c r="H86" s="24">
        <v>41</v>
      </c>
      <c r="I86" s="24">
        <f t="shared" si="3"/>
        <v>-136</v>
      </c>
    </row>
    <row r="87" spans="1:9" x14ac:dyDescent="0.25">
      <c r="A87" s="20">
        <v>84</v>
      </c>
      <c r="B87" s="21" t="s">
        <v>127</v>
      </c>
      <c r="C87" s="21">
        <v>100</v>
      </c>
      <c r="D87" s="22">
        <v>0</v>
      </c>
      <c r="E87" s="22">
        <v>16</v>
      </c>
      <c r="F87" s="23">
        <f t="shared" si="4"/>
        <v>16</v>
      </c>
      <c r="G87" s="24">
        <f t="shared" si="5"/>
        <v>48</v>
      </c>
      <c r="H87" s="24">
        <v>11</v>
      </c>
      <c r="I87" s="24">
        <f t="shared" si="3"/>
        <v>-37</v>
      </c>
    </row>
    <row r="88" spans="1:9" x14ac:dyDescent="0.25">
      <c r="A88" s="20">
        <v>85</v>
      </c>
      <c r="B88" s="21" t="s">
        <v>121</v>
      </c>
      <c r="C88" s="24">
        <v>100</v>
      </c>
      <c r="D88" s="22">
        <v>0</v>
      </c>
      <c r="E88" s="22">
        <v>31</v>
      </c>
      <c r="F88" s="23">
        <f t="shared" si="4"/>
        <v>31</v>
      </c>
      <c r="G88" s="24">
        <f t="shared" si="5"/>
        <v>93</v>
      </c>
      <c r="H88" s="24">
        <v>25</v>
      </c>
      <c r="I88" s="24">
        <f t="shared" si="3"/>
        <v>-68</v>
      </c>
    </row>
    <row r="89" spans="1:9" x14ac:dyDescent="0.25">
      <c r="A89" s="20">
        <v>86</v>
      </c>
      <c r="B89" s="21" t="s">
        <v>129</v>
      </c>
      <c r="C89" s="24">
        <v>50</v>
      </c>
      <c r="D89" s="22">
        <v>0</v>
      </c>
      <c r="E89" s="22">
        <v>17</v>
      </c>
      <c r="F89" s="23">
        <f t="shared" si="4"/>
        <v>17</v>
      </c>
      <c r="G89" s="24">
        <f t="shared" si="5"/>
        <v>51</v>
      </c>
      <c r="H89" s="24">
        <v>39</v>
      </c>
      <c r="I89" s="24">
        <f t="shared" si="3"/>
        <v>-12</v>
      </c>
    </row>
    <row r="90" spans="1:9" x14ac:dyDescent="0.25">
      <c r="A90" s="20">
        <v>87</v>
      </c>
      <c r="B90" s="21" t="s">
        <v>85</v>
      </c>
      <c r="C90" s="21">
        <v>100</v>
      </c>
      <c r="D90" s="22">
        <v>15</v>
      </c>
      <c r="E90" s="22">
        <v>29</v>
      </c>
      <c r="F90" s="23">
        <f t="shared" si="4"/>
        <v>44</v>
      </c>
      <c r="G90" s="24">
        <f t="shared" si="5"/>
        <v>132</v>
      </c>
      <c r="H90" s="24">
        <v>55</v>
      </c>
      <c r="I90" s="24">
        <f t="shared" si="3"/>
        <v>-77</v>
      </c>
    </row>
    <row r="91" spans="1:9" x14ac:dyDescent="0.25">
      <c r="A91" s="20">
        <v>88</v>
      </c>
      <c r="B91" s="21" t="s">
        <v>87</v>
      </c>
      <c r="C91" s="21">
        <v>100</v>
      </c>
      <c r="D91" s="22">
        <v>5</v>
      </c>
      <c r="E91" s="22">
        <v>17</v>
      </c>
      <c r="F91" s="23">
        <f t="shared" si="4"/>
        <v>22</v>
      </c>
      <c r="G91" s="24">
        <f t="shared" si="5"/>
        <v>66</v>
      </c>
      <c r="H91" s="24">
        <v>39</v>
      </c>
      <c r="I91" s="24">
        <f t="shared" si="3"/>
        <v>-27</v>
      </c>
    </row>
    <row r="92" spans="1:9" x14ac:dyDescent="0.25">
      <c r="A92" s="20">
        <v>89</v>
      </c>
      <c r="B92" s="21" t="s">
        <v>89</v>
      </c>
      <c r="C92" s="21">
        <v>50</v>
      </c>
      <c r="D92" s="22">
        <v>0</v>
      </c>
      <c r="E92" s="22">
        <v>5</v>
      </c>
      <c r="F92" s="23">
        <f t="shared" si="4"/>
        <v>5</v>
      </c>
      <c r="G92" s="24">
        <f t="shared" si="5"/>
        <v>15</v>
      </c>
      <c r="H92" s="24">
        <v>68</v>
      </c>
      <c r="I92" s="24">
        <f>H92-G92</f>
        <v>53</v>
      </c>
    </row>
    <row r="93" spans="1:9" x14ac:dyDescent="0.25">
      <c r="A93" s="20">
        <v>90</v>
      </c>
      <c r="B93" s="21" t="s">
        <v>91</v>
      </c>
      <c r="C93" s="21">
        <v>50</v>
      </c>
      <c r="D93" s="22">
        <v>0</v>
      </c>
      <c r="E93" s="22">
        <v>5</v>
      </c>
      <c r="F93" s="23">
        <f t="shared" si="4"/>
        <v>5</v>
      </c>
      <c r="G93" s="24">
        <f t="shared" si="5"/>
        <v>15</v>
      </c>
      <c r="H93" s="24">
        <v>83</v>
      </c>
      <c r="I93" s="24">
        <f t="shared" si="3"/>
        <v>68</v>
      </c>
    </row>
    <row r="94" spans="1:9" x14ac:dyDescent="0.25">
      <c r="A94" s="20">
        <v>91</v>
      </c>
      <c r="B94" s="21" t="s">
        <v>105</v>
      </c>
      <c r="C94" s="21">
        <v>50</v>
      </c>
      <c r="D94" s="22">
        <v>23</v>
      </c>
      <c r="E94" s="22">
        <v>43</v>
      </c>
      <c r="F94" s="23">
        <f t="shared" si="4"/>
        <v>66</v>
      </c>
      <c r="G94" s="24">
        <f t="shared" si="5"/>
        <v>198</v>
      </c>
      <c r="H94" s="24">
        <v>76</v>
      </c>
      <c r="I94" s="24">
        <f>H94-G94</f>
        <v>-122</v>
      </c>
    </row>
    <row r="95" spans="1:9" x14ac:dyDescent="0.25">
      <c r="A95" s="20">
        <v>92</v>
      </c>
      <c r="B95" s="21" t="s">
        <v>107</v>
      </c>
      <c r="C95" s="21">
        <v>50</v>
      </c>
      <c r="D95" s="22">
        <v>8</v>
      </c>
      <c r="E95" s="22">
        <v>37</v>
      </c>
      <c r="F95" s="23">
        <f t="shared" si="4"/>
        <v>45</v>
      </c>
      <c r="G95" s="24">
        <f t="shared" si="5"/>
        <v>135</v>
      </c>
      <c r="H95" s="24">
        <v>44</v>
      </c>
      <c r="I95" s="24">
        <f t="shared" si="3"/>
        <v>-91</v>
      </c>
    </row>
    <row r="96" spans="1:9" x14ac:dyDescent="0.25">
      <c r="A96" s="20">
        <v>93</v>
      </c>
      <c r="B96" s="24" t="s">
        <v>351</v>
      </c>
      <c r="C96" s="24">
        <v>30</v>
      </c>
      <c r="D96" s="22">
        <v>5</v>
      </c>
      <c r="E96" s="22">
        <v>14</v>
      </c>
      <c r="F96" s="23">
        <f t="shared" si="4"/>
        <v>19</v>
      </c>
      <c r="G96" s="24">
        <f t="shared" si="5"/>
        <v>57</v>
      </c>
      <c r="H96" s="24">
        <v>32</v>
      </c>
      <c r="I96" s="24">
        <f t="shared" si="3"/>
        <v>-25</v>
      </c>
    </row>
    <row r="97" spans="1:9" x14ac:dyDescent="0.25">
      <c r="A97" s="20">
        <v>94</v>
      </c>
      <c r="B97" s="24" t="s">
        <v>352</v>
      </c>
      <c r="C97" s="24">
        <v>30</v>
      </c>
      <c r="D97" s="22">
        <v>0</v>
      </c>
      <c r="E97" s="22">
        <v>4</v>
      </c>
      <c r="F97" s="23">
        <f t="shared" si="4"/>
        <v>4</v>
      </c>
      <c r="G97" s="24">
        <f t="shared" si="5"/>
        <v>12</v>
      </c>
      <c r="H97" s="24">
        <v>32</v>
      </c>
      <c r="I97" s="24">
        <f t="shared" si="3"/>
        <v>20</v>
      </c>
    </row>
    <row r="98" spans="1:9" x14ac:dyDescent="0.25">
      <c r="A98" s="20">
        <v>95</v>
      </c>
      <c r="B98" s="24" t="s">
        <v>353</v>
      </c>
      <c r="C98" s="24">
        <v>50</v>
      </c>
      <c r="D98" s="22">
        <v>0</v>
      </c>
      <c r="E98" s="22">
        <v>16</v>
      </c>
      <c r="F98" s="23">
        <f t="shared" si="4"/>
        <v>16</v>
      </c>
      <c r="G98" s="24">
        <f t="shared" si="5"/>
        <v>48</v>
      </c>
      <c r="H98" s="24">
        <v>7</v>
      </c>
      <c r="I98" s="24">
        <f t="shared" si="3"/>
        <v>-41</v>
      </c>
    </row>
    <row r="99" spans="1:9" x14ac:dyDescent="0.25">
      <c r="A99" s="20">
        <v>96</v>
      </c>
      <c r="B99" s="24" t="s">
        <v>354</v>
      </c>
      <c r="C99" s="24">
        <v>50</v>
      </c>
      <c r="D99" s="20">
        <v>0</v>
      </c>
      <c r="E99" s="20">
        <v>0</v>
      </c>
      <c r="F99" s="23">
        <f t="shared" si="4"/>
        <v>0</v>
      </c>
      <c r="G99" s="24">
        <f t="shared" si="5"/>
        <v>0</v>
      </c>
      <c r="H99" s="24">
        <v>1</v>
      </c>
      <c r="I99" s="24">
        <f t="shared" si="3"/>
        <v>1</v>
      </c>
    </row>
    <row r="100" spans="1:9" x14ac:dyDescent="0.25">
      <c r="A100" s="20">
        <v>97</v>
      </c>
      <c r="B100" s="24" t="s">
        <v>357</v>
      </c>
      <c r="C100" s="24">
        <v>50</v>
      </c>
      <c r="D100" s="22">
        <v>0</v>
      </c>
      <c r="E100" s="22">
        <v>37</v>
      </c>
      <c r="F100" s="23">
        <f t="shared" si="4"/>
        <v>37</v>
      </c>
      <c r="G100" s="24">
        <f t="shared" si="5"/>
        <v>111</v>
      </c>
      <c r="H100" s="24">
        <v>16</v>
      </c>
      <c r="I100" s="24">
        <f t="shared" si="3"/>
        <v>-95</v>
      </c>
    </row>
    <row r="101" spans="1:9" x14ac:dyDescent="0.25">
      <c r="A101" s="20">
        <v>98</v>
      </c>
      <c r="B101" s="24" t="s">
        <v>358</v>
      </c>
      <c r="C101" s="24">
        <v>50</v>
      </c>
      <c r="D101" s="22">
        <v>0</v>
      </c>
      <c r="E101" s="22">
        <v>14</v>
      </c>
      <c r="F101" s="23">
        <f t="shared" si="4"/>
        <v>14</v>
      </c>
      <c r="G101" s="24">
        <f t="shared" si="5"/>
        <v>42</v>
      </c>
      <c r="H101" s="24">
        <v>25</v>
      </c>
      <c r="I101" s="24">
        <f t="shared" si="3"/>
        <v>-17</v>
      </c>
    </row>
    <row r="102" spans="1:9" x14ac:dyDescent="0.25">
      <c r="A102" s="20">
        <v>99</v>
      </c>
      <c r="B102" s="24" t="s">
        <v>359</v>
      </c>
      <c r="C102" s="24">
        <v>30</v>
      </c>
      <c r="D102" s="22">
        <v>0</v>
      </c>
      <c r="E102" s="22">
        <v>24</v>
      </c>
      <c r="F102" s="23">
        <f t="shared" si="4"/>
        <v>24</v>
      </c>
      <c r="G102" s="24">
        <f t="shared" si="5"/>
        <v>72</v>
      </c>
      <c r="H102" s="24">
        <v>8</v>
      </c>
      <c r="I102" s="24">
        <f t="shared" si="3"/>
        <v>-64</v>
      </c>
    </row>
    <row r="103" spans="1:9" x14ac:dyDescent="0.25">
      <c r="A103" s="20">
        <v>100</v>
      </c>
      <c r="B103" s="24" t="s">
        <v>360</v>
      </c>
      <c r="C103" s="24">
        <v>30</v>
      </c>
      <c r="D103" s="20">
        <v>0</v>
      </c>
      <c r="E103" s="20">
        <v>0</v>
      </c>
      <c r="F103" s="23">
        <f t="shared" si="4"/>
        <v>0</v>
      </c>
      <c r="G103" s="24">
        <f t="shared" si="5"/>
        <v>0</v>
      </c>
      <c r="H103" s="24"/>
      <c r="I103" s="24"/>
    </row>
    <row r="104" spans="1:9" x14ac:dyDescent="0.25">
      <c r="A104" s="20">
        <v>101</v>
      </c>
      <c r="B104" s="24" t="s">
        <v>361</v>
      </c>
      <c r="C104" s="24">
        <v>50</v>
      </c>
      <c r="D104" s="22">
        <v>5</v>
      </c>
      <c r="E104" s="22">
        <v>24</v>
      </c>
      <c r="F104" s="23">
        <f t="shared" si="4"/>
        <v>29</v>
      </c>
      <c r="G104" s="24">
        <f t="shared" si="5"/>
        <v>87</v>
      </c>
      <c r="H104" s="24">
        <v>14</v>
      </c>
      <c r="I104" s="24">
        <f>H104-G104</f>
        <v>-73</v>
      </c>
    </row>
    <row r="105" spans="1:9" x14ac:dyDescent="0.25">
      <c r="A105" s="20">
        <v>102</v>
      </c>
      <c r="B105" s="24" t="s">
        <v>362</v>
      </c>
      <c r="C105" s="24">
        <v>50</v>
      </c>
      <c r="D105" s="20">
        <v>0</v>
      </c>
      <c r="E105" s="20">
        <v>0</v>
      </c>
      <c r="F105" s="23">
        <f t="shared" si="4"/>
        <v>0</v>
      </c>
      <c r="G105" s="24">
        <f t="shared" si="5"/>
        <v>0</v>
      </c>
      <c r="H105" s="24">
        <v>27</v>
      </c>
      <c r="I105" s="24">
        <f t="shared" ref="I105:I117" si="6">H105-G105</f>
        <v>27</v>
      </c>
    </row>
    <row r="106" spans="1:9" x14ac:dyDescent="0.25">
      <c r="A106" s="20">
        <v>103</v>
      </c>
      <c r="B106" s="24" t="s">
        <v>489</v>
      </c>
      <c r="C106" s="24">
        <v>30</v>
      </c>
      <c r="D106" s="22">
        <v>0</v>
      </c>
      <c r="E106" s="22">
        <v>6</v>
      </c>
      <c r="F106" s="23">
        <f t="shared" si="4"/>
        <v>6</v>
      </c>
      <c r="G106" s="24">
        <f t="shared" si="5"/>
        <v>18</v>
      </c>
      <c r="H106" s="24">
        <v>-1</v>
      </c>
      <c r="I106" s="24">
        <f t="shared" si="6"/>
        <v>-19</v>
      </c>
    </row>
    <row r="107" spans="1:9" x14ac:dyDescent="0.25">
      <c r="A107" s="20">
        <v>104</v>
      </c>
      <c r="B107" s="24" t="s">
        <v>490</v>
      </c>
      <c r="C107" s="24">
        <v>30</v>
      </c>
      <c r="D107" s="20">
        <v>0</v>
      </c>
      <c r="E107" s="20">
        <v>0</v>
      </c>
      <c r="F107" s="23">
        <f t="shared" si="4"/>
        <v>0</v>
      </c>
      <c r="G107" s="24">
        <f t="shared" si="5"/>
        <v>0</v>
      </c>
      <c r="H107" s="24"/>
      <c r="I107" s="24"/>
    </row>
    <row r="108" spans="1:9" x14ac:dyDescent="0.25">
      <c r="A108" s="20">
        <v>105</v>
      </c>
      <c r="B108" s="24" t="s">
        <v>333</v>
      </c>
      <c r="C108" s="24">
        <v>30</v>
      </c>
      <c r="D108" s="22">
        <v>7</v>
      </c>
      <c r="E108" s="22">
        <v>32</v>
      </c>
      <c r="F108" s="23">
        <f t="shared" si="4"/>
        <v>39</v>
      </c>
      <c r="G108" s="24">
        <f t="shared" si="5"/>
        <v>117</v>
      </c>
      <c r="H108" s="24">
        <v>29</v>
      </c>
      <c r="I108" s="24">
        <f t="shared" si="6"/>
        <v>-88</v>
      </c>
    </row>
    <row r="109" spans="1:9" x14ac:dyDescent="0.25">
      <c r="A109" s="20">
        <v>106</v>
      </c>
      <c r="B109" s="24" t="s">
        <v>334</v>
      </c>
      <c r="C109" s="24">
        <v>30</v>
      </c>
      <c r="D109" s="22">
        <v>0</v>
      </c>
      <c r="E109" s="22">
        <v>10</v>
      </c>
      <c r="F109" s="23">
        <f t="shared" si="4"/>
        <v>10</v>
      </c>
      <c r="G109" s="24">
        <f t="shared" si="5"/>
        <v>30</v>
      </c>
      <c r="H109" s="24">
        <v>53</v>
      </c>
      <c r="I109" s="24">
        <f t="shared" si="6"/>
        <v>23</v>
      </c>
    </row>
    <row r="110" spans="1:9" x14ac:dyDescent="0.25">
      <c r="A110" s="20">
        <v>107</v>
      </c>
      <c r="B110" s="24" t="s">
        <v>335</v>
      </c>
      <c r="C110" s="24">
        <v>30</v>
      </c>
      <c r="D110" s="22">
        <v>10</v>
      </c>
      <c r="E110" s="22">
        <v>15</v>
      </c>
      <c r="F110" s="23">
        <f t="shared" si="4"/>
        <v>25</v>
      </c>
      <c r="G110" s="24">
        <f t="shared" si="5"/>
        <v>75</v>
      </c>
      <c r="H110" s="24">
        <v>2</v>
      </c>
      <c r="I110" s="24">
        <f t="shared" si="6"/>
        <v>-73</v>
      </c>
    </row>
    <row r="111" spans="1:9" x14ac:dyDescent="0.25">
      <c r="A111" s="20">
        <v>108</v>
      </c>
      <c r="B111" s="24" t="s">
        <v>336</v>
      </c>
      <c r="C111" s="24">
        <v>30</v>
      </c>
      <c r="D111" s="22">
        <v>10</v>
      </c>
      <c r="E111" s="22">
        <v>0</v>
      </c>
      <c r="F111" s="23">
        <f t="shared" si="4"/>
        <v>10</v>
      </c>
      <c r="G111" s="24">
        <f t="shared" si="5"/>
        <v>30</v>
      </c>
      <c r="H111" s="24">
        <v>5</v>
      </c>
      <c r="I111" s="24">
        <f t="shared" si="6"/>
        <v>-25</v>
      </c>
    </row>
    <row r="112" spans="1:9" x14ac:dyDescent="0.25">
      <c r="A112" s="20">
        <v>109</v>
      </c>
      <c r="B112" s="24" t="s">
        <v>341</v>
      </c>
      <c r="C112" s="24">
        <v>30</v>
      </c>
      <c r="D112" s="22">
        <v>0</v>
      </c>
      <c r="E112" s="22">
        <v>20</v>
      </c>
      <c r="F112" s="23">
        <f t="shared" si="4"/>
        <v>20</v>
      </c>
      <c r="G112" s="24">
        <f t="shared" si="5"/>
        <v>60</v>
      </c>
      <c r="H112" s="24">
        <v>40</v>
      </c>
      <c r="I112" s="24">
        <f t="shared" si="6"/>
        <v>-20</v>
      </c>
    </row>
    <row r="113" spans="1:9" x14ac:dyDescent="0.25">
      <c r="A113" s="20">
        <v>110</v>
      </c>
      <c r="B113" s="24" t="s">
        <v>342</v>
      </c>
      <c r="C113" s="24">
        <v>30</v>
      </c>
      <c r="D113" s="22">
        <v>0</v>
      </c>
      <c r="E113" s="22">
        <v>1</v>
      </c>
      <c r="F113" s="23">
        <f t="shared" si="4"/>
        <v>1</v>
      </c>
      <c r="G113" s="24">
        <f t="shared" si="5"/>
        <v>3</v>
      </c>
      <c r="H113" s="24">
        <v>50</v>
      </c>
      <c r="I113" s="24">
        <f t="shared" si="6"/>
        <v>47</v>
      </c>
    </row>
    <row r="114" spans="1:9" x14ac:dyDescent="0.25">
      <c r="A114" s="20">
        <v>111</v>
      </c>
      <c r="B114" s="24" t="s">
        <v>343</v>
      </c>
      <c r="C114" s="24">
        <v>30</v>
      </c>
      <c r="D114" s="22">
        <v>0</v>
      </c>
      <c r="E114" s="22">
        <v>15</v>
      </c>
      <c r="F114" s="23">
        <f t="shared" si="4"/>
        <v>15</v>
      </c>
      <c r="G114" s="24">
        <f t="shared" si="5"/>
        <v>45</v>
      </c>
      <c r="H114" s="24">
        <v>2</v>
      </c>
      <c r="I114" s="24">
        <f t="shared" si="6"/>
        <v>-43</v>
      </c>
    </row>
    <row r="115" spans="1:9" x14ac:dyDescent="0.25">
      <c r="A115" s="20">
        <v>112</v>
      </c>
      <c r="B115" s="24" t="s">
        <v>344</v>
      </c>
      <c r="C115" s="24">
        <v>30</v>
      </c>
      <c r="D115" s="22">
        <v>0</v>
      </c>
      <c r="E115" s="22">
        <v>15</v>
      </c>
      <c r="F115" s="23">
        <f t="shared" si="4"/>
        <v>15</v>
      </c>
      <c r="G115" s="24">
        <f t="shared" si="5"/>
        <v>45</v>
      </c>
      <c r="H115" s="24">
        <v>6</v>
      </c>
      <c r="I115" s="24">
        <f t="shared" si="6"/>
        <v>-39</v>
      </c>
    </row>
    <row r="116" spans="1:9" x14ac:dyDescent="0.25">
      <c r="A116" s="20">
        <v>113</v>
      </c>
      <c r="B116" s="24" t="s">
        <v>345</v>
      </c>
      <c r="C116" s="24">
        <v>30</v>
      </c>
      <c r="D116" s="22">
        <v>0</v>
      </c>
      <c r="E116" s="22">
        <v>15</v>
      </c>
      <c r="F116" s="23">
        <f t="shared" si="4"/>
        <v>15</v>
      </c>
      <c r="G116" s="24">
        <f t="shared" si="5"/>
        <v>45</v>
      </c>
      <c r="H116" s="24">
        <v>17</v>
      </c>
      <c r="I116" s="24">
        <f t="shared" si="6"/>
        <v>-28</v>
      </c>
    </row>
    <row r="117" spans="1:9" x14ac:dyDescent="0.25">
      <c r="A117" s="20">
        <v>114</v>
      </c>
      <c r="B117" s="24" t="s">
        <v>346</v>
      </c>
      <c r="C117" s="24">
        <v>30</v>
      </c>
      <c r="D117" s="22">
        <v>0</v>
      </c>
      <c r="E117" s="22">
        <v>3</v>
      </c>
      <c r="F117" s="23">
        <f t="shared" si="4"/>
        <v>3</v>
      </c>
      <c r="G117" s="24">
        <f t="shared" si="5"/>
        <v>9</v>
      </c>
      <c r="H117" s="24">
        <v>23</v>
      </c>
      <c r="I117" s="24">
        <f t="shared" si="6"/>
        <v>14</v>
      </c>
    </row>
    <row r="118" spans="1:9" x14ac:dyDescent="0.25">
      <c r="A118" s="20">
        <v>115</v>
      </c>
      <c r="B118" s="24" t="s">
        <v>347</v>
      </c>
      <c r="C118" s="24">
        <v>30</v>
      </c>
      <c r="D118" s="22">
        <v>0</v>
      </c>
      <c r="E118" s="22">
        <v>20</v>
      </c>
      <c r="F118" s="23">
        <f t="shared" si="4"/>
        <v>20</v>
      </c>
      <c r="G118" s="24">
        <f t="shared" si="5"/>
        <v>60</v>
      </c>
      <c r="H118" s="24"/>
      <c r="I118" s="24"/>
    </row>
    <row r="119" spans="1:9" x14ac:dyDescent="0.25">
      <c r="A119" s="20">
        <v>116</v>
      </c>
      <c r="B119" s="24" t="s">
        <v>348</v>
      </c>
      <c r="C119" s="24">
        <v>30</v>
      </c>
      <c r="D119" s="20">
        <v>0</v>
      </c>
      <c r="E119" s="20">
        <v>0</v>
      </c>
      <c r="F119" s="23">
        <f t="shared" si="4"/>
        <v>0</v>
      </c>
      <c r="G119" s="24">
        <f t="shared" si="5"/>
        <v>0</v>
      </c>
      <c r="H119" s="24">
        <v>19</v>
      </c>
      <c r="I119" s="24">
        <f>H119-G119</f>
        <v>19</v>
      </c>
    </row>
    <row r="120" spans="1:9" x14ac:dyDescent="0.25">
      <c r="A120" s="20">
        <v>117</v>
      </c>
      <c r="B120" s="24" t="s">
        <v>302</v>
      </c>
      <c r="C120" s="24">
        <v>30</v>
      </c>
      <c r="D120" s="22">
        <v>0</v>
      </c>
      <c r="E120" s="22">
        <v>28</v>
      </c>
      <c r="F120" s="23">
        <f t="shared" si="4"/>
        <v>28</v>
      </c>
      <c r="G120" s="24">
        <f t="shared" si="5"/>
        <v>84</v>
      </c>
      <c r="H120" s="24">
        <v>16</v>
      </c>
      <c r="I120" s="24">
        <f t="shared" ref="I120:I151" si="7">H120-G120</f>
        <v>-68</v>
      </c>
    </row>
    <row r="121" spans="1:9" x14ac:dyDescent="0.25">
      <c r="A121" s="20">
        <v>118</v>
      </c>
      <c r="B121" s="24" t="s">
        <v>303</v>
      </c>
      <c r="C121" s="24">
        <v>30</v>
      </c>
      <c r="D121" s="22">
        <v>2</v>
      </c>
      <c r="E121" s="22">
        <v>5</v>
      </c>
      <c r="F121" s="23">
        <f t="shared" si="4"/>
        <v>7</v>
      </c>
      <c r="G121" s="24">
        <f t="shared" si="5"/>
        <v>21</v>
      </c>
      <c r="H121" s="24">
        <v>24</v>
      </c>
      <c r="I121" s="24">
        <f t="shared" si="7"/>
        <v>3</v>
      </c>
    </row>
    <row r="122" spans="1:9" x14ac:dyDescent="0.25">
      <c r="A122" s="20">
        <v>119</v>
      </c>
      <c r="B122" s="24" t="s">
        <v>304</v>
      </c>
      <c r="C122" s="24">
        <v>50</v>
      </c>
      <c r="D122" s="22">
        <v>23</v>
      </c>
      <c r="E122" s="22">
        <v>58</v>
      </c>
      <c r="F122" s="23">
        <f t="shared" si="4"/>
        <v>81</v>
      </c>
      <c r="G122" s="24">
        <f t="shared" si="5"/>
        <v>243</v>
      </c>
      <c r="H122" s="24">
        <v>4</v>
      </c>
      <c r="I122" s="24">
        <f t="shared" si="7"/>
        <v>-239</v>
      </c>
    </row>
    <row r="123" spans="1:9" x14ac:dyDescent="0.25">
      <c r="A123" s="20">
        <v>120</v>
      </c>
      <c r="B123" s="24" t="s">
        <v>305</v>
      </c>
      <c r="C123" s="24">
        <v>50</v>
      </c>
      <c r="D123" s="22">
        <v>20</v>
      </c>
      <c r="E123" s="22">
        <v>10</v>
      </c>
      <c r="F123" s="23">
        <f t="shared" si="4"/>
        <v>30</v>
      </c>
      <c r="G123" s="24">
        <f t="shared" si="5"/>
        <v>90</v>
      </c>
      <c r="H123" s="24">
        <v>1</v>
      </c>
      <c r="I123" s="24">
        <f t="shared" si="7"/>
        <v>-89</v>
      </c>
    </row>
    <row r="124" spans="1:9" x14ac:dyDescent="0.25">
      <c r="A124" s="20">
        <v>121</v>
      </c>
      <c r="B124" s="24" t="s">
        <v>308</v>
      </c>
      <c r="C124" s="24">
        <v>50</v>
      </c>
      <c r="D124" s="22">
        <v>5</v>
      </c>
      <c r="E124" s="22">
        <v>10</v>
      </c>
      <c r="F124" s="23">
        <f t="shared" si="4"/>
        <v>15</v>
      </c>
      <c r="G124" s="24">
        <f t="shared" si="5"/>
        <v>45</v>
      </c>
      <c r="H124" s="24">
        <v>15</v>
      </c>
      <c r="I124" s="24">
        <f t="shared" si="7"/>
        <v>-30</v>
      </c>
    </row>
    <row r="125" spans="1:9" x14ac:dyDescent="0.25">
      <c r="A125" s="20">
        <v>122</v>
      </c>
      <c r="B125" s="24" t="s">
        <v>309</v>
      </c>
      <c r="C125" s="24">
        <v>50</v>
      </c>
      <c r="D125" s="22">
        <v>15</v>
      </c>
      <c r="E125" s="22">
        <v>25</v>
      </c>
      <c r="F125" s="23">
        <f t="shared" si="4"/>
        <v>40</v>
      </c>
      <c r="G125" s="24">
        <f t="shared" si="5"/>
        <v>120</v>
      </c>
      <c r="H125" s="24">
        <v>7</v>
      </c>
      <c r="I125" s="24">
        <f t="shared" si="7"/>
        <v>-113</v>
      </c>
    </row>
    <row r="126" spans="1:9" x14ac:dyDescent="0.25">
      <c r="A126" s="20">
        <v>123</v>
      </c>
      <c r="B126" s="24" t="s">
        <v>314</v>
      </c>
      <c r="C126" s="24">
        <v>50</v>
      </c>
      <c r="D126" s="22">
        <v>6</v>
      </c>
      <c r="E126" s="22">
        <v>70</v>
      </c>
      <c r="F126" s="23">
        <f t="shared" si="4"/>
        <v>76</v>
      </c>
      <c r="G126" s="24">
        <f t="shared" si="5"/>
        <v>228</v>
      </c>
      <c r="H126" s="24">
        <v>-5</v>
      </c>
      <c r="I126" s="24">
        <f t="shared" si="7"/>
        <v>-233</v>
      </c>
    </row>
    <row r="127" spans="1:9" x14ac:dyDescent="0.25">
      <c r="A127" s="20">
        <v>124</v>
      </c>
      <c r="B127" s="24" t="s">
        <v>315</v>
      </c>
      <c r="C127" s="24">
        <v>50</v>
      </c>
      <c r="D127" s="22">
        <v>0</v>
      </c>
      <c r="E127" s="22">
        <v>5</v>
      </c>
      <c r="F127" s="23">
        <f t="shared" si="4"/>
        <v>5</v>
      </c>
      <c r="G127" s="24">
        <f t="shared" si="5"/>
        <v>15</v>
      </c>
      <c r="H127" s="24">
        <v>68</v>
      </c>
      <c r="I127" s="24">
        <f t="shared" si="7"/>
        <v>53</v>
      </c>
    </row>
    <row r="128" spans="1:9" x14ac:dyDescent="0.25">
      <c r="A128" s="20">
        <v>125</v>
      </c>
      <c r="B128" s="24" t="s">
        <v>318</v>
      </c>
      <c r="C128" s="24">
        <v>50</v>
      </c>
      <c r="D128" s="22">
        <v>9</v>
      </c>
      <c r="E128" s="22">
        <v>20</v>
      </c>
      <c r="F128" s="23">
        <f t="shared" si="4"/>
        <v>29</v>
      </c>
      <c r="G128" s="24">
        <f t="shared" si="5"/>
        <v>87</v>
      </c>
      <c r="H128" s="24">
        <v>-4</v>
      </c>
      <c r="I128" s="24">
        <f t="shared" si="7"/>
        <v>-91</v>
      </c>
    </row>
    <row r="129" spans="1:9" x14ac:dyDescent="0.25">
      <c r="A129" s="20">
        <v>126</v>
      </c>
      <c r="B129" s="24" t="s">
        <v>319</v>
      </c>
      <c r="C129" s="24">
        <v>50</v>
      </c>
      <c r="D129" s="22">
        <v>10</v>
      </c>
      <c r="E129" s="22">
        <v>17</v>
      </c>
      <c r="F129" s="23">
        <f t="shared" si="4"/>
        <v>27</v>
      </c>
      <c r="G129" s="24">
        <f t="shared" si="5"/>
        <v>81</v>
      </c>
      <c r="H129" s="24">
        <v>18</v>
      </c>
      <c r="I129" s="24">
        <f t="shared" si="7"/>
        <v>-63</v>
      </c>
    </row>
    <row r="130" spans="1:9" x14ac:dyDescent="0.25">
      <c r="A130" s="20">
        <v>127</v>
      </c>
      <c r="B130" s="24" t="s">
        <v>322</v>
      </c>
      <c r="C130" s="24">
        <v>50</v>
      </c>
      <c r="D130" s="22">
        <v>0</v>
      </c>
      <c r="E130" s="22">
        <v>47</v>
      </c>
      <c r="F130" s="23">
        <f t="shared" si="4"/>
        <v>47</v>
      </c>
      <c r="G130" s="24">
        <f t="shared" si="5"/>
        <v>141</v>
      </c>
      <c r="H130" s="24">
        <v>21</v>
      </c>
      <c r="I130" s="24">
        <f t="shared" si="7"/>
        <v>-120</v>
      </c>
    </row>
    <row r="131" spans="1:9" x14ac:dyDescent="0.25">
      <c r="A131" s="20">
        <v>128</v>
      </c>
      <c r="B131" s="24" t="s">
        <v>323</v>
      </c>
      <c r="C131" s="24">
        <v>50</v>
      </c>
      <c r="D131" s="22">
        <v>6</v>
      </c>
      <c r="E131" s="22">
        <v>5</v>
      </c>
      <c r="F131" s="23">
        <f t="shared" si="4"/>
        <v>11</v>
      </c>
      <c r="G131" s="24">
        <f t="shared" si="5"/>
        <v>33</v>
      </c>
      <c r="H131" s="24">
        <v>22</v>
      </c>
      <c r="I131" s="24">
        <f t="shared" si="7"/>
        <v>-11</v>
      </c>
    </row>
    <row r="132" spans="1:9" x14ac:dyDescent="0.25">
      <c r="A132" s="20">
        <v>129</v>
      </c>
      <c r="B132" s="21" t="s">
        <v>260</v>
      </c>
      <c r="C132" s="21">
        <v>100</v>
      </c>
      <c r="D132" s="22">
        <v>10</v>
      </c>
      <c r="E132" s="22">
        <v>27</v>
      </c>
      <c r="F132" s="23">
        <f t="shared" si="4"/>
        <v>37</v>
      </c>
      <c r="G132" s="24">
        <f t="shared" si="5"/>
        <v>111</v>
      </c>
      <c r="H132" s="24">
        <v>18</v>
      </c>
      <c r="I132" s="24">
        <f t="shared" si="7"/>
        <v>-93</v>
      </c>
    </row>
    <row r="133" spans="1:9" x14ac:dyDescent="0.25">
      <c r="A133" s="20">
        <v>130</v>
      </c>
      <c r="B133" s="21" t="s">
        <v>261</v>
      </c>
      <c r="C133" s="21">
        <v>100</v>
      </c>
      <c r="D133" s="22">
        <v>11</v>
      </c>
      <c r="E133" s="22">
        <v>24</v>
      </c>
      <c r="F133" s="23">
        <f t="shared" ref="F133:F161" si="8">D133+E133</f>
        <v>35</v>
      </c>
      <c r="G133" s="24">
        <f t="shared" ref="G133:G161" si="9">F133*3</f>
        <v>105</v>
      </c>
      <c r="H133" s="24">
        <v>81</v>
      </c>
      <c r="I133" s="24">
        <f t="shared" si="7"/>
        <v>-24</v>
      </c>
    </row>
    <row r="134" spans="1:9" x14ac:dyDescent="0.25">
      <c r="A134" s="20">
        <v>131</v>
      </c>
      <c r="B134" s="21" t="s">
        <v>267</v>
      </c>
      <c r="C134" s="21">
        <v>100</v>
      </c>
      <c r="D134" s="22">
        <v>8</v>
      </c>
      <c r="E134" s="22">
        <v>113</v>
      </c>
      <c r="F134" s="23">
        <f t="shared" si="8"/>
        <v>121</v>
      </c>
      <c r="G134" s="24">
        <f t="shared" si="9"/>
        <v>363</v>
      </c>
      <c r="H134" s="24">
        <v>17</v>
      </c>
      <c r="I134" s="24">
        <f t="shared" si="7"/>
        <v>-346</v>
      </c>
    </row>
    <row r="135" spans="1:9" x14ac:dyDescent="0.25">
      <c r="A135" s="20">
        <v>132</v>
      </c>
      <c r="B135" s="21" t="s">
        <v>492</v>
      </c>
      <c r="C135" s="21">
        <v>100</v>
      </c>
      <c r="D135" s="22">
        <v>8</v>
      </c>
      <c r="E135" s="22">
        <v>17</v>
      </c>
      <c r="F135" s="23">
        <f t="shared" si="8"/>
        <v>25</v>
      </c>
      <c r="G135" s="24">
        <f t="shared" si="9"/>
        <v>75</v>
      </c>
      <c r="H135" s="24">
        <v>35</v>
      </c>
      <c r="I135" s="24">
        <f t="shared" si="7"/>
        <v>-40</v>
      </c>
    </row>
    <row r="136" spans="1:9" x14ac:dyDescent="0.25">
      <c r="A136" s="20">
        <v>133</v>
      </c>
      <c r="B136" s="21" t="s">
        <v>491</v>
      </c>
      <c r="C136" s="21">
        <v>100</v>
      </c>
      <c r="D136" s="22">
        <v>32</v>
      </c>
      <c r="E136" s="22">
        <v>5</v>
      </c>
      <c r="F136" s="23">
        <f t="shared" si="8"/>
        <v>37</v>
      </c>
      <c r="G136" s="24">
        <f t="shared" si="9"/>
        <v>111</v>
      </c>
      <c r="H136" s="24">
        <v>-5</v>
      </c>
      <c r="I136" s="24">
        <f t="shared" si="7"/>
        <v>-116</v>
      </c>
    </row>
    <row r="137" spans="1:9" x14ac:dyDescent="0.25">
      <c r="A137" s="20">
        <v>134</v>
      </c>
      <c r="B137" s="21" t="s">
        <v>268</v>
      </c>
      <c r="C137" s="21">
        <v>100</v>
      </c>
      <c r="D137" s="22">
        <v>5</v>
      </c>
      <c r="E137" s="22">
        <v>5</v>
      </c>
      <c r="F137" s="23">
        <f t="shared" si="8"/>
        <v>10</v>
      </c>
      <c r="G137" s="24">
        <f t="shared" si="9"/>
        <v>30</v>
      </c>
      <c r="H137" s="24">
        <v>-1</v>
      </c>
      <c r="I137" s="24">
        <f t="shared" si="7"/>
        <v>-31</v>
      </c>
    </row>
    <row r="138" spans="1:9" x14ac:dyDescent="0.25">
      <c r="A138" s="20">
        <v>135</v>
      </c>
      <c r="B138" s="21" t="s">
        <v>270</v>
      </c>
      <c r="C138" s="21">
        <v>50</v>
      </c>
      <c r="D138" s="22">
        <v>3</v>
      </c>
      <c r="E138" s="22">
        <v>20</v>
      </c>
      <c r="F138" s="23">
        <f t="shared" si="8"/>
        <v>23</v>
      </c>
      <c r="G138" s="24">
        <f t="shared" si="9"/>
        <v>69</v>
      </c>
      <c r="H138" s="24">
        <v>1</v>
      </c>
      <c r="I138" s="24">
        <f t="shared" si="7"/>
        <v>-68</v>
      </c>
    </row>
    <row r="139" spans="1:9" x14ac:dyDescent="0.25">
      <c r="A139" s="20">
        <v>136</v>
      </c>
      <c r="B139" s="21" t="s">
        <v>273</v>
      </c>
      <c r="C139" s="21">
        <v>50</v>
      </c>
      <c r="D139" s="22">
        <v>5</v>
      </c>
      <c r="E139" s="22">
        <v>32</v>
      </c>
      <c r="F139" s="23">
        <f t="shared" si="8"/>
        <v>37</v>
      </c>
      <c r="G139" s="24">
        <f t="shared" si="9"/>
        <v>111</v>
      </c>
      <c r="H139" s="24">
        <v>9</v>
      </c>
      <c r="I139" s="24">
        <f t="shared" si="7"/>
        <v>-102</v>
      </c>
    </row>
    <row r="140" spans="1:9" x14ac:dyDescent="0.25">
      <c r="A140" s="20">
        <v>137</v>
      </c>
      <c r="B140" s="21" t="s">
        <v>271</v>
      </c>
      <c r="C140" s="21">
        <v>50</v>
      </c>
      <c r="D140" s="22">
        <v>2</v>
      </c>
      <c r="E140" s="22">
        <v>5</v>
      </c>
      <c r="F140" s="23">
        <f t="shared" si="8"/>
        <v>7</v>
      </c>
      <c r="G140" s="24">
        <f t="shared" si="9"/>
        <v>21</v>
      </c>
      <c r="H140" s="24">
        <v>42</v>
      </c>
      <c r="I140" s="24">
        <f t="shared" si="7"/>
        <v>21</v>
      </c>
    </row>
    <row r="141" spans="1:9" x14ac:dyDescent="0.25">
      <c r="A141" s="20">
        <v>138</v>
      </c>
      <c r="B141" s="21" t="s">
        <v>274</v>
      </c>
      <c r="C141" s="21">
        <v>50</v>
      </c>
      <c r="D141" s="22">
        <v>0</v>
      </c>
      <c r="E141" s="22">
        <v>13</v>
      </c>
      <c r="F141" s="23">
        <f t="shared" si="8"/>
        <v>13</v>
      </c>
      <c r="G141" s="24">
        <f t="shared" si="9"/>
        <v>39</v>
      </c>
      <c r="H141" s="24">
        <v>27</v>
      </c>
      <c r="I141" s="24">
        <f t="shared" si="7"/>
        <v>-12</v>
      </c>
    </row>
    <row r="142" spans="1:9" x14ac:dyDescent="0.25">
      <c r="A142" s="20">
        <v>139</v>
      </c>
      <c r="B142" s="21" t="s">
        <v>238</v>
      </c>
      <c r="C142" s="21">
        <v>30</v>
      </c>
      <c r="D142" s="22">
        <v>5</v>
      </c>
      <c r="E142" s="22">
        <v>56</v>
      </c>
      <c r="F142" s="23">
        <f t="shared" si="8"/>
        <v>61</v>
      </c>
      <c r="G142" s="24">
        <f t="shared" si="9"/>
        <v>183</v>
      </c>
      <c r="H142" s="24">
        <v>19</v>
      </c>
      <c r="I142" s="24">
        <f t="shared" si="7"/>
        <v>-164</v>
      </c>
    </row>
    <row r="143" spans="1:9" x14ac:dyDescent="0.25">
      <c r="A143" s="20">
        <v>140</v>
      </c>
      <c r="B143" s="21" t="s">
        <v>239</v>
      </c>
      <c r="C143" s="21">
        <v>30</v>
      </c>
      <c r="D143" s="22">
        <v>0</v>
      </c>
      <c r="E143" s="22">
        <v>5</v>
      </c>
      <c r="F143" s="23">
        <f t="shared" si="8"/>
        <v>5</v>
      </c>
      <c r="G143" s="24">
        <f t="shared" si="9"/>
        <v>15</v>
      </c>
      <c r="H143" s="24">
        <v>26</v>
      </c>
      <c r="I143" s="24">
        <f t="shared" si="7"/>
        <v>11</v>
      </c>
    </row>
    <row r="144" spans="1:9" x14ac:dyDescent="0.25">
      <c r="A144" s="20">
        <v>141</v>
      </c>
      <c r="B144" s="21" t="s">
        <v>242</v>
      </c>
      <c r="C144" s="21">
        <v>30</v>
      </c>
      <c r="D144" s="22">
        <v>0</v>
      </c>
      <c r="E144" s="22">
        <v>66</v>
      </c>
      <c r="F144" s="23">
        <f t="shared" si="8"/>
        <v>66</v>
      </c>
      <c r="G144" s="24">
        <f t="shared" si="9"/>
        <v>198</v>
      </c>
      <c r="H144" s="24">
        <v>-24</v>
      </c>
      <c r="I144" s="24">
        <f t="shared" si="7"/>
        <v>-222</v>
      </c>
    </row>
    <row r="145" spans="1:9" x14ac:dyDescent="0.25">
      <c r="A145" s="20">
        <v>142</v>
      </c>
      <c r="B145" s="21" t="s">
        <v>243</v>
      </c>
      <c r="C145" s="21">
        <v>30</v>
      </c>
      <c r="D145" s="22">
        <v>5</v>
      </c>
      <c r="E145" s="22">
        <v>10</v>
      </c>
      <c r="F145" s="23">
        <f t="shared" si="8"/>
        <v>15</v>
      </c>
      <c r="G145" s="24">
        <f t="shared" si="9"/>
        <v>45</v>
      </c>
      <c r="H145" s="24">
        <v>27</v>
      </c>
      <c r="I145" s="24">
        <f t="shared" si="7"/>
        <v>-18</v>
      </c>
    </row>
    <row r="146" spans="1:9" x14ac:dyDescent="0.25">
      <c r="A146" s="20">
        <v>143</v>
      </c>
      <c r="B146" s="21" t="s">
        <v>248</v>
      </c>
      <c r="C146" s="21">
        <v>30</v>
      </c>
      <c r="D146" s="22">
        <v>10</v>
      </c>
      <c r="E146" s="22">
        <v>12</v>
      </c>
      <c r="F146" s="23">
        <f t="shared" si="8"/>
        <v>22</v>
      </c>
      <c r="G146" s="24">
        <f t="shared" si="9"/>
        <v>66</v>
      </c>
      <c r="H146" s="24">
        <v>4</v>
      </c>
      <c r="I146" s="24">
        <f t="shared" si="7"/>
        <v>-62</v>
      </c>
    </row>
    <row r="147" spans="1:9" x14ac:dyDescent="0.25">
      <c r="A147" s="20">
        <v>144</v>
      </c>
      <c r="B147" s="21" t="s">
        <v>249</v>
      </c>
      <c r="C147" s="21">
        <v>30</v>
      </c>
      <c r="D147" s="22">
        <v>0</v>
      </c>
      <c r="E147" s="22">
        <v>14</v>
      </c>
      <c r="F147" s="23">
        <f t="shared" si="8"/>
        <v>14</v>
      </c>
      <c r="G147" s="24">
        <f t="shared" si="9"/>
        <v>42</v>
      </c>
      <c r="H147" s="24">
        <v>18</v>
      </c>
      <c r="I147" s="24">
        <f t="shared" si="7"/>
        <v>-24</v>
      </c>
    </row>
    <row r="148" spans="1:9" x14ac:dyDescent="0.25">
      <c r="A148" s="20">
        <v>145</v>
      </c>
      <c r="B148" s="21" t="s">
        <v>174</v>
      </c>
      <c r="C148" s="21">
        <v>100</v>
      </c>
      <c r="D148" s="22">
        <v>0</v>
      </c>
      <c r="E148" s="22">
        <v>72</v>
      </c>
      <c r="F148" s="23">
        <f t="shared" si="8"/>
        <v>72</v>
      </c>
      <c r="G148" s="24">
        <f t="shared" si="9"/>
        <v>216</v>
      </c>
      <c r="H148" s="24">
        <v>70</v>
      </c>
      <c r="I148" s="24">
        <f t="shared" si="7"/>
        <v>-146</v>
      </c>
    </row>
    <row r="149" spans="1:9" x14ac:dyDescent="0.25">
      <c r="A149" s="20">
        <v>146</v>
      </c>
      <c r="B149" s="21" t="s">
        <v>176</v>
      </c>
      <c r="C149" s="21">
        <v>50</v>
      </c>
      <c r="D149" s="22">
        <v>0</v>
      </c>
      <c r="E149" s="22">
        <v>17</v>
      </c>
      <c r="F149" s="23">
        <f t="shared" si="8"/>
        <v>17</v>
      </c>
      <c r="G149" s="24">
        <f t="shared" si="9"/>
        <v>51</v>
      </c>
      <c r="H149" s="24">
        <v>69</v>
      </c>
      <c r="I149" s="24">
        <f t="shared" si="7"/>
        <v>18</v>
      </c>
    </row>
    <row r="150" spans="1:9" x14ac:dyDescent="0.25">
      <c r="A150" s="20">
        <v>147</v>
      </c>
      <c r="B150" s="21" t="s">
        <v>186</v>
      </c>
      <c r="C150" s="21">
        <v>100</v>
      </c>
      <c r="D150" s="22">
        <v>11</v>
      </c>
      <c r="E150" s="22">
        <v>39</v>
      </c>
      <c r="F150" s="23">
        <f t="shared" si="8"/>
        <v>50</v>
      </c>
      <c r="G150" s="24">
        <f t="shared" si="9"/>
        <v>150</v>
      </c>
      <c r="H150" s="24">
        <v>86</v>
      </c>
      <c r="I150" s="24">
        <f t="shared" si="7"/>
        <v>-64</v>
      </c>
    </row>
    <row r="151" spans="1:9" x14ac:dyDescent="0.25">
      <c r="A151" s="20">
        <v>148</v>
      </c>
      <c r="B151" s="21" t="s">
        <v>188</v>
      </c>
      <c r="C151" s="21">
        <v>50</v>
      </c>
      <c r="D151" s="22">
        <v>3</v>
      </c>
      <c r="E151" s="22">
        <v>11</v>
      </c>
      <c r="F151" s="23">
        <f t="shared" si="8"/>
        <v>14</v>
      </c>
      <c r="G151" s="24">
        <f t="shared" si="9"/>
        <v>42</v>
      </c>
      <c r="H151" s="24">
        <v>41</v>
      </c>
      <c r="I151" s="24">
        <f t="shared" si="7"/>
        <v>-1</v>
      </c>
    </row>
    <row r="152" spans="1:9" x14ac:dyDescent="0.25">
      <c r="A152" s="20">
        <v>149</v>
      </c>
      <c r="B152" s="21" t="s">
        <v>90</v>
      </c>
      <c r="C152" s="21">
        <v>30</v>
      </c>
      <c r="D152" s="22">
        <v>0</v>
      </c>
      <c r="E152" s="22">
        <v>30</v>
      </c>
      <c r="F152" s="23">
        <f t="shared" si="8"/>
        <v>30</v>
      </c>
      <c r="G152" s="24">
        <f t="shared" si="9"/>
        <v>90</v>
      </c>
      <c r="H152" s="24"/>
      <c r="I152" s="24"/>
    </row>
    <row r="153" spans="1:9" x14ac:dyDescent="0.25">
      <c r="A153" s="20">
        <v>150</v>
      </c>
      <c r="B153" s="21" t="s">
        <v>92</v>
      </c>
      <c r="C153" s="21">
        <v>30</v>
      </c>
      <c r="D153" s="22">
        <v>6</v>
      </c>
      <c r="E153" s="22">
        <v>13</v>
      </c>
      <c r="F153" s="23">
        <f t="shared" si="8"/>
        <v>19</v>
      </c>
      <c r="G153" s="24">
        <f t="shared" si="9"/>
        <v>57</v>
      </c>
      <c r="H153" s="24">
        <v>21</v>
      </c>
      <c r="I153" s="24">
        <f>H153-G153</f>
        <v>-36</v>
      </c>
    </row>
    <row r="154" spans="1:9" x14ac:dyDescent="0.25">
      <c r="A154" s="20">
        <v>151</v>
      </c>
      <c r="B154" s="21" t="s">
        <v>102</v>
      </c>
      <c r="C154" s="21">
        <v>30</v>
      </c>
      <c r="D154" s="22">
        <v>0</v>
      </c>
      <c r="E154" s="22">
        <v>4</v>
      </c>
      <c r="F154" s="23">
        <f t="shared" si="8"/>
        <v>4</v>
      </c>
      <c r="G154" s="24">
        <f t="shared" si="9"/>
        <v>12</v>
      </c>
      <c r="H154" s="24">
        <v>-1</v>
      </c>
      <c r="I154" s="24">
        <f t="shared" ref="I154:I160" si="10">H154-G154</f>
        <v>-13</v>
      </c>
    </row>
    <row r="155" spans="1:9" x14ac:dyDescent="0.25">
      <c r="A155" s="20">
        <v>152</v>
      </c>
      <c r="B155" s="21" t="s">
        <v>104</v>
      </c>
      <c r="C155" s="21">
        <v>30</v>
      </c>
      <c r="D155" s="22">
        <v>6</v>
      </c>
      <c r="E155" s="22">
        <v>1</v>
      </c>
      <c r="F155" s="23">
        <f t="shared" si="8"/>
        <v>7</v>
      </c>
      <c r="G155" s="24">
        <f t="shared" si="9"/>
        <v>21</v>
      </c>
      <c r="H155" s="24">
        <v>1</v>
      </c>
      <c r="I155" s="24">
        <f t="shared" si="10"/>
        <v>-20</v>
      </c>
    </row>
    <row r="156" spans="1:9" x14ac:dyDescent="0.25">
      <c r="A156" s="20">
        <v>153</v>
      </c>
      <c r="B156" s="21" t="s">
        <v>114</v>
      </c>
      <c r="C156" s="21">
        <v>30</v>
      </c>
      <c r="D156" s="22">
        <v>0</v>
      </c>
      <c r="E156" s="22">
        <v>33</v>
      </c>
      <c r="F156" s="23">
        <f t="shared" si="8"/>
        <v>33</v>
      </c>
      <c r="G156" s="24">
        <f t="shared" si="9"/>
        <v>99</v>
      </c>
      <c r="H156" s="24">
        <v>3</v>
      </c>
      <c r="I156" s="24">
        <f t="shared" si="10"/>
        <v>-96</v>
      </c>
    </row>
    <row r="157" spans="1:9" x14ac:dyDescent="0.25">
      <c r="A157" s="20">
        <v>154</v>
      </c>
      <c r="B157" s="21" t="s">
        <v>116</v>
      </c>
      <c r="C157" s="21">
        <v>30</v>
      </c>
      <c r="D157" s="22">
        <v>6</v>
      </c>
      <c r="E157" s="22">
        <v>3</v>
      </c>
      <c r="F157" s="23">
        <f t="shared" si="8"/>
        <v>9</v>
      </c>
      <c r="G157" s="24">
        <f t="shared" si="9"/>
        <v>27</v>
      </c>
      <c r="H157" s="24">
        <v>1</v>
      </c>
      <c r="I157" s="24">
        <f t="shared" si="10"/>
        <v>-26</v>
      </c>
    </row>
    <row r="158" spans="1:9" x14ac:dyDescent="0.25">
      <c r="A158" s="20">
        <v>155</v>
      </c>
      <c r="B158" s="21" t="s">
        <v>70</v>
      </c>
      <c r="C158" s="21">
        <v>30</v>
      </c>
      <c r="D158" s="22">
        <v>2</v>
      </c>
      <c r="E158" s="22">
        <v>49</v>
      </c>
      <c r="F158" s="23">
        <f t="shared" si="8"/>
        <v>51</v>
      </c>
      <c r="G158" s="24">
        <f t="shared" si="9"/>
        <v>153</v>
      </c>
      <c r="H158" s="24">
        <v>4</v>
      </c>
      <c r="I158" s="24">
        <f t="shared" si="10"/>
        <v>-149</v>
      </c>
    </row>
    <row r="159" spans="1:9" x14ac:dyDescent="0.25">
      <c r="A159" s="20">
        <v>156</v>
      </c>
      <c r="B159" s="21" t="s">
        <v>72</v>
      </c>
      <c r="C159" s="21">
        <v>30</v>
      </c>
      <c r="D159" s="22">
        <v>0</v>
      </c>
      <c r="E159" s="22">
        <v>20</v>
      </c>
      <c r="F159" s="23">
        <f t="shared" si="8"/>
        <v>20</v>
      </c>
      <c r="G159" s="24">
        <f t="shared" si="9"/>
        <v>60</v>
      </c>
      <c r="H159" s="24">
        <v>50</v>
      </c>
      <c r="I159" s="24">
        <f t="shared" si="10"/>
        <v>-10</v>
      </c>
    </row>
    <row r="160" spans="1:9" x14ac:dyDescent="0.25">
      <c r="A160" s="20">
        <v>157</v>
      </c>
      <c r="B160" s="21" t="s">
        <v>74</v>
      </c>
      <c r="C160" s="21">
        <v>50</v>
      </c>
      <c r="D160" s="22">
        <v>0</v>
      </c>
      <c r="E160" s="22">
        <v>2</v>
      </c>
      <c r="F160" s="23">
        <f t="shared" si="8"/>
        <v>2</v>
      </c>
      <c r="G160" s="24">
        <f t="shared" si="9"/>
        <v>6</v>
      </c>
      <c r="H160" s="24">
        <v>-16</v>
      </c>
      <c r="I160" s="24">
        <f t="shared" si="10"/>
        <v>-22</v>
      </c>
    </row>
    <row r="161" spans="1:9" x14ac:dyDescent="0.25">
      <c r="A161" s="20">
        <v>158</v>
      </c>
      <c r="B161" s="21" t="s">
        <v>76</v>
      </c>
      <c r="C161" s="21">
        <v>50</v>
      </c>
      <c r="D161" s="22">
        <v>0</v>
      </c>
      <c r="E161" s="22">
        <v>1</v>
      </c>
      <c r="F161" s="23">
        <f t="shared" si="8"/>
        <v>1</v>
      </c>
      <c r="G161" s="24">
        <f t="shared" si="9"/>
        <v>3</v>
      </c>
      <c r="H161" s="24"/>
      <c r="I161" s="24"/>
    </row>
  </sheetData>
  <mergeCells count="1">
    <mergeCell ref="A2:I2"/>
  </mergeCells>
  <pageMargins left="0.36" right="0.44" top="0.16" bottom="0.24" header="0.34" footer="0.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3E9F-3895-4A00-AFB5-76A17C4F530F}">
  <dimension ref="A1:N164"/>
  <sheetViews>
    <sheetView tabSelected="1" zoomScale="98" zoomScaleNormal="98" workbookViewId="0">
      <pane ySplit="2" topLeftCell="A3" activePane="bottomLeft" state="frozen"/>
      <selection pane="bottomLeft" activeCell="U161" sqref="U161"/>
    </sheetView>
  </sheetViews>
  <sheetFormatPr defaultRowHeight="14.25" customHeight="1" x14ac:dyDescent="0.25"/>
  <cols>
    <col min="1" max="1" width="6" style="40" bestFit="1" customWidth="1"/>
    <col min="2" max="2" width="20.140625" style="40" bestFit="1" customWidth="1"/>
    <col min="3" max="3" width="15.140625" style="40" bestFit="1" customWidth="1"/>
    <col min="4" max="4" width="11" style="40" hidden="1" customWidth="1"/>
    <col min="5" max="5" width="10" style="40" hidden="1" customWidth="1"/>
    <col min="6" max="6" width="12.7109375" style="40" hidden="1" customWidth="1"/>
    <col min="7" max="7" width="17.5703125" style="40" hidden="1" customWidth="1"/>
    <col min="8" max="8" width="17.28515625" style="40" hidden="1" customWidth="1"/>
    <col min="9" max="9" width="12.5703125" style="40" hidden="1" customWidth="1"/>
    <col min="10" max="10" width="21.42578125" style="40" hidden="1" customWidth="1"/>
    <col min="11" max="11" width="9" style="40" hidden="1" customWidth="1"/>
    <col min="12" max="12" width="10.42578125" style="40" hidden="1" customWidth="1"/>
    <col min="13" max="13" width="9.5703125" style="40" hidden="1" customWidth="1"/>
    <col min="14" max="14" width="7.7109375" style="40" hidden="1" customWidth="1"/>
    <col min="15" max="16384" width="9.140625" style="40"/>
  </cols>
  <sheetData>
    <row r="1" spans="1:14" ht="14.25" customHeight="1" x14ac:dyDescent="0.25">
      <c r="A1" s="46" t="s">
        <v>527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4.25" customHeight="1" x14ac:dyDescent="0.25">
      <c r="A2" s="41" t="s">
        <v>2</v>
      </c>
      <c r="B2" s="41" t="s">
        <v>3</v>
      </c>
      <c r="C2" s="41" t="s">
        <v>517</v>
      </c>
      <c r="D2" s="41" t="s">
        <v>498</v>
      </c>
      <c r="E2" s="41" t="s">
        <v>500</v>
      </c>
      <c r="F2" s="41" t="s">
        <v>520</v>
      </c>
      <c r="G2" s="41" t="s">
        <v>515</v>
      </c>
      <c r="H2" s="41" t="s">
        <v>518</v>
      </c>
      <c r="I2" s="41" t="s">
        <v>521</v>
      </c>
      <c r="J2" s="41" t="s">
        <v>522</v>
      </c>
      <c r="K2" s="42" t="s">
        <v>523</v>
      </c>
      <c r="L2" s="42" t="s">
        <v>524</v>
      </c>
      <c r="M2" s="42" t="s">
        <v>525</v>
      </c>
      <c r="N2" s="42" t="s">
        <v>526</v>
      </c>
    </row>
    <row r="3" spans="1:14" ht="14.25" customHeight="1" x14ac:dyDescent="0.25">
      <c r="A3" s="41">
        <v>1</v>
      </c>
      <c r="B3" s="43" t="s">
        <v>9</v>
      </c>
      <c r="C3" s="43">
        <v>100</v>
      </c>
      <c r="D3" s="42">
        <v>107</v>
      </c>
      <c r="E3" s="42">
        <f>D3-C3</f>
        <v>7</v>
      </c>
      <c r="F3" s="42" t="s">
        <v>519</v>
      </c>
      <c r="G3" s="42"/>
      <c r="H3" s="42">
        <v>150</v>
      </c>
      <c r="I3" s="42"/>
      <c r="J3" s="42">
        <f>E3-H3</f>
        <v>-143</v>
      </c>
      <c r="K3" s="42">
        <v>150</v>
      </c>
      <c r="L3" s="42"/>
      <c r="M3" s="42"/>
      <c r="N3" s="42"/>
    </row>
    <row r="4" spans="1:14" ht="14.25" customHeight="1" x14ac:dyDescent="0.25">
      <c r="A4" s="41">
        <v>2</v>
      </c>
      <c r="B4" s="43" t="s">
        <v>11</v>
      </c>
      <c r="C4" s="43">
        <v>100</v>
      </c>
      <c r="D4" s="42">
        <v>54</v>
      </c>
      <c r="E4" s="42">
        <f t="shared" ref="E4:E67" si="0">D4-C4</f>
        <v>-46</v>
      </c>
      <c r="F4" s="42" t="s">
        <v>519</v>
      </c>
      <c r="G4" s="42" t="s">
        <v>508</v>
      </c>
      <c r="H4" s="42">
        <v>0</v>
      </c>
      <c r="I4" s="42"/>
      <c r="J4" s="42">
        <f t="shared" ref="J4:J67" si="1">E4-H4</f>
        <v>-46</v>
      </c>
      <c r="K4" s="42">
        <v>0</v>
      </c>
      <c r="L4" s="42"/>
      <c r="M4" s="42"/>
      <c r="N4" s="42"/>
    </row>
    <row r="5" spans="1:14" ht="14.25" customHeight="1" x14ac:dyDescent="0.25">
      <c r="A5" s="41">
        <v>3</v>
      </c>
      <c r="B5" s="43" t="s">
        <v>5</v>
      </c>
      <c r="C5" s="43">
        <v>600</v>
      </c>
      <c r="D5" s="42">
        <v>100</v>
      </c>
      <c r="E5" s="42">
        <f t="shared" si="0"/>
        <v>-500</v>
      </c>
      <c r="F5" s="42"/>
      <c r="G5" s="42">
        <v>319</v>
      </c>
      <c r="H5" s="42">
        <v>319</v>
      </c>
      <c r="I5" s="42"/>
      <c r="J5" s="42">
        <f t="shared" si="1"/>
        <v>-819</v>
      </c>
      <c r="K5" s="42">
        <v>319</v>
      </c>
      <c r="L5" s="42"/>
      <c r="M5" s="42"/>
      <c r="N5" s="42"/>
    </row>
    <row r="6" spans="1:14" ht="14.25" customHeight="1" x14ac:dyDescent="0.25">
      <c r="A6" s="41">
        <v>4</v>
      </c>
      <c r="B6" s="43" t="s">
        <v>7</v>
      </c>
      <c r="C6" s="43">
        <v>400</v>
      </c>
      <c r="D6" s="42">
        <v>-14</v>
      </c>
      <c r="E6" s="42">
        <f t="shared" si="0"/>
        <v>-414</v>
      </c>
      <c r="F6" s="42"/>
      <c r="G6" s="42">
        <v>500</v>
      </c>
      <c r="H6" s="42">
        <v>500</v>
      </c>
      <c r="I6" s="42"/>
      <c r="J6" s="42">
        <f t="shared" si="1"/>
        <v>-914</v>
      </c>
      <c r="K6" s="42">
        <v>240</v>
      </c>
      <c r="L6" s="42"/>
      <c r="M6" s="42"/>
      <c r="N6" s="42"/>
    </row>
    <row r="7" spans="1:14" ht="14.25" customHeight="1" x14ac:dyDescent="0.25">
      <c r="A7" s="41">
        <v>5</v>
      </c>
      <c r="B7" s="43" t="s">
        <v>17</v>
      </c>
      <c r="C7" s="43">
        <v>150</v>
      </c>
      <c r="D7" s="42">
        <v>137</v>
      </c>
      <c r="E7" s="42">
        <f t="shared" si="0"/>
        <v>-13</v>
      </c>
      <c r="F7" s="42"/>
      <c r="G7" s="42">
        <v>135</v>
      </c>
      <c r="H7" s="42">
        <v>135</v>
      </c>
      <c r="I7" s="42"/>
      <c r="J7" s="42">
        <f t="shared" si="1"/>
        <v>-148</v>
      </c>
      <c r="K7" s="42">
        <v>51</v>
      </c>
      <c r="L7" s="42"/>
      <c r="M7" s="42"/>
      <c r="N7" s="42"/>
    </row>
    <row r="8" spans="1:14" ht="14.25" customHeight="1" x14ac:dyDescent="0.25">
      <c r="A8" s="41">
        <v>6</v>
      </c>
      <c r="B8" s="43" t="s">
        <v>21</v>
      </c>
      <c r="C8" s="43">
        <v>100</v>
      </c>
      <c r="D8" s="42">
        <v>89</v>
      </c>
      <c r="E8" s="42">
        <f t="shared" si="0"/>
        <v>-11</v>
      </c>
      <c r="F8" s="42"/>
      <c r="G8" s="42">
        <v>80</v>
      </c>
      <c r="H8" s="42">
        <v>80</v>
      </c>
      <c r="I8" s="42">
        <v>2</v>
      </c>
      <c r="J8" s="42"/>
      <c r="K8" s="42">
        <v>9</v>
      </c>
      <c r="L8" s="42"/>
      <c r="M8" s="42"/>
      <c r="N8" s="42"/>
    </row>
    <row r="9" spans="1:14" ht="14.25" customHeight="1" x14ac:dyDescent="0.25">
      <c r="A9" s="41">
        <v>7</v>
      </c>
      <c r="B9" s="43" t="s">
        <v>15</v>
      </c>
      <c r="C9" s="43">
        <v>100</v>
      </c>
      <c r="D9" s="42">
        <v>31</v>
      </c>
      <c r="E9" s="42">
        <f t="shared" si="0"/>
        <v>-69</v>
      </c>
      <c r="F9" s="42"/>
      <c r="G9" s="42">
        <v>0</v>
      </c>
      <c r="H9" s="42" t="s">
        <v>508</v>
      </c>
      <c r="I9" s="42"/>
      <c r="J9" s="42"/>
      <c r="K9" s="42">
        <v>0</v>
      </c>
      <c r="L9" s="42"/>
      <c r="M9" s="42"/>
      <c r="N9" s="42"/>
    </row>
    <row r="10" spans="1:14" ht="14.25" customHeight="1" x14ac:dyDescent="0.25">
      <c r="A10" s="41">
        <v>8</v>
      </c>
      <c r="B10" s="43" t="s">
        <v>13</v>
      </c>
      <c r="C10" s="43">
        <v>100</v>
      </c>
      <c r="D10" s="42">
        <v>-3</v>
      </c>
      <c r="E10" s="42">
        <f t="shared" si="0"/>
        <v>-103</v>
      </c>
      <c r="F10" s="42"/>
      <c r="G10" s="42">
        <v>30</v>
      </c>
      <c r="H10" s="42">
        <v>10</v>
      </c>
      <c r="I10" s="42">
        <v>53</v>
      </c>
      <c r="J10" s="42"/>
      <c r="K10" s="42">
        <v>10</v>
      </c>
      <c r="L10" s="42"/>
      <c r="M10" s="42"/>
      <c r="N10" s="42"/>
    </row>
    <row r="11" spans="1:14" ht="14.25" customHeight="1" x14ac:dyDescent="0.25">
      <c r="A11" s="41">
        <v>9</v>
      </c>
      <c r="B11" s="43" t="s">
        <v>41</v>
      </c>
      <c r="C11" s="43">
        <v>150</v>
      </c>
      <c r="D11" s="42">
        <v>98</v>
      </c>
      <c r="E11" s="42">
        <f t="shared" si="0"/>
        <v>-52</v>
      </c>
      <c r="F11" s="42"/>
      <c r="G11" s="42">
        <v>112</v>
      </c>
      <c r="H11" s="42">
        <v>112</v>
      </c>
      <c r="I11" s="42"/>
      <c r="J11" s="42">
        <f t="shared" si="1"/>
        <v>-164</v>
      </c>
      <c r="K11" s="42">
        <v>112</v>
      </c>
      <c r="L11" s="42"/>
      <c r="M11" s="42"/>
      <c r="N11" s="42"/>
    </row>
    <row r="12" spans="1:14" ht="14.25" customHeight="1" x14ac:dyDescent="0.25">
      <c r="A12" s="41">
        <v>10</v>
      </c>
      <c r="B12" s="43" t="s">
        <v>43</v>
      </c>
      <c r="C12" s="43">
        <v>100</v>
      </c>
      <c r="D12" s="42">
        <v>37</v>
      </c>
      <c r="E12" s="42">
        <f t="shared" si="0"/>
        <v>-63</v>
      </c>
      <c r="F12" s="42"/>
      <c r="G12" s="42">
        <v>50</v>
      </c>
      <c r="H12" s="42">
        <v>25</v>
      </c>
      <c r="I12" s="42">
        <v>13</v>
      </c>
      <c r="J12" s="42"/>
      <c r="K12" s="42">
        <v>25</v>
      </c>
      <c r="L12" s="42"/>
      <c r="M12" s="42"/>
      <c r="N12" s="42"/>
    </row>
    <row r="13" spans="1:14" ht="14.25" customHeight="1" x14ac:dyDescent="0.25">
      <c r="A13" s="41">
        <v>11</v>
      </c>
      <c r="B13" s="43" t="s">
        <v>45</v>
      </c>
      <c r="C13" s="43">
        <v>20</v>
      </c>
      <c r="D13" s="42">
        <v>10</v>
      </c>
      <c r="E13" s="42">
        <f t="shared" si="0"/>
        <v>-10</v>
      </c>
      <c r="F13" s="42" t="s">
        <v>519</v>
      </c>
      <c r="G13" s="42"/>
      <c r="H13" s="42"/>
      <c r="I13" s="42"/>
      <c r="J13" s="42">
        <f t="shared" si="1"/>
        <v>-10</v>
      </c>
      <c r="K13" s="42">
        <v>0</v>
      </c>
      <c r="L13" s="42"/>
      <c r="M13" s="42"/>
      <c r="N13" s="42"/>
    </row>
    <row r="14" spans="1:14" ht="14.25" customHeight="1" x14ac:dyDescent="0.25">
      <c r="A14" s="41">
        <v>12</v>
      </c>
      <c r="B14" s="43" t="s">
        <v>47</v>
      </c>
      <c r="C14" s="43">
        <v>20</v>
      </c>
      <c r="D14" s="42">
        <v>44</v>
      </c>
      <c r="E14" s="42">
        <f t="shared" si="0"/>
        <v>24</v>
      </c>
      <c r="F14" s="42" t="s">
        <v>519</v>
      </c>
      <c r="G14" s="42"/>
      <c r="H14" s="42"/>
      <c r="I14" s="42"/>
      <c r="J14" s="42">
        <f t="shared" si="1"/>
        <v>24</v>
      </c>
      <c r="K14" s="42">
        <v>0</v>
      </c>
      <c r="L14" s="42"/>
      <c r="M14" s="42"/>
      <c r="N14" s="42"/>
    </row>
    <row r="15" spans="1:14" ht="14.25" customHeight="1" x14ac:dyDescent="0.25">
      <c r="A15" s="41">
        <v>13</v>
      </c>
      <c r="B15" s="43" t="s">
        <v>25</v>
      </c>
      <c r="C15" s="43">
        <v>150</v>
      </c>
      <c r="D15" s="42">
        <v>57</v>
      </c>
      <c r="E15" s="42">
        <f t="shared" si="0"/>
        <v>-93</v>
      </c>
      <c r="F15" s="42"/>
      <c r="G15" s="42">
        <v>150</v>
      </c>
      <c r="H15" s="42">
        <v>100</v>
      </c>
      <c r="I15" s="42"/>
      <c r="J15" s="42">
        <f t="shared" si="1"/>
        <v>-193</v>
      </c>
      <c r="K15" s="42">
        <v>100</v>
      </c>
      <c r="L15" s="42"/>
      <c r="M15" s="42"/>
      <c r="N15" s="42"/>
    </row>
    <row r="16" spans="1:14" ht="14.25" customHeight="1" x14ac:dyDescent="0.25">
      <c r="A16" s="41">
        <v>14</v>
      </c>
      <c r="B16" s="43" t="s">
        <v>27</v>
      </c>
      <c r="C16" s="43">
        <v>100</v>
      </c>
      <c r="D16" s="42">
        <v>114</v>
      </c>
      <c r="E16" s="42">
        <f t="shared" si="0"/>
        <v>14</v>
      </c>
      <c r="F16" s="42"/>
      <c r="G16" s="42">
        <v>95</v>
      </c>
      <c r="H16" s="42">
        <v>95</v>
      </c>
      <c r="I16" s="42"/>
      <c r="J16" s="42">
        <f t="shared" si="1"/>
        <v>-81</v>
      </c>
      <c r="K16" s="42">
        <v>14</v>
      </c>
      <c r="L16" s="42"/>
      <c r="M16" s="42"/>
      <c r="N16" s="42"/>
    </row>
    <row r="17" spans="1:14" ht="14.25" customHeight="1" x14ac:dyDescent="0.25">
      <c r="A17" s="41">
        <v>15</v>
      </c>
      <c r="B17" s="43" t="s">
        <v>29</v>
      </c>
      <c r="C17" s="43">
        <v>50</v>
      </c>
      <c r="D17" s="42">
        <v>47</v>
      </c>
      <c r="E17" s="42">
        <f t="shared" si="0"/>
        <v>-3</v>
      </c>
      <c r="F17" s="42"/>
      <c r="G17" s="42">
        <v>0</v>
      </c>
      <c r="H17" s="42" t="s">
        <v>508</v>
      </c>
      <c r="I17" s="42"/>
      <c r="J17" s="42"/>
      <c r="K17" s="42">
        <v>0</v>
      </c>
      <c r="L17" s="42"/>
      <c r="M17" s="42"/>
      <c r="N17" s="42"/>
    </row>
    <row r="18" spans="1:14" ht="14.25" customHeight="1" x14ac:dyDescent="0.25">
      <c r="A18" s="41">
        <v>16</v>
      </c>
      <c r="B18" s="43" t="s">
        <v>31</v>
      </c>
      <c r="C18" s="43">
        <v>50</v>
      </c>
      <c r="D18" s="42">
        <v>48</v>
      </c>
      <c r="E18" s="42">
        <f t="shared" si="0"/>
        <v>-2</v>
      </c>
      <c r="F18" s="42"/>
      <c r="G18" s="42">
        <v>0</v>
      </c>
      <c r="H18" s="42" t="s">
        <v>508</v>
      </c>
      <c r="I18" s="42"/>
      <c r="J18" s="42"/>
      <c r="K18" s="42">
        <v>0</v>
      </c>
      <c r="L18" s="42"/>
      <c r="M18" s="42"/>
      <c r="N18" s="42"/>
    </row>
    <row r="19" spans="1:14" ht="14.25" customHeight="1" x14ac:dyDescent="0.25">
      <c r="A19" s="41">
        <v>17</v>
      </c>
      <c r="B19" s="43" t="s">
        <v>57</v>
      </c>
      <c r="C19" s="43">
        <v>150</v>
      </c>
      <c r="D19" s="42">
        <v>76</v>
      </c>
      <c r="E19" s="42">
        <f t="shared" si="0"/>
        <v>-74</v>
      </c>
      <c r="F19" s="42"/>
      <c r="G19" s="42">
        <v>50</v>
      </c>
      <c r="H19" s="42">
        <v>50</v>
      </c>
      <c r="I19" s="42">
        <v>24</v>
      </c>
      <c r="J19" s="42"/>
      <c r="K19" s="42">
        <v>50</v>
      </c>
      <c r="L19" s="42"/>
      <c r="M19" s="42"/>
      <c r="N19" s="42"/>
    </row>
    <row r="20" spans="1:14" ht="14.25" customHeight="1" x14ac:dyDescent="0.25">
      <c r="A20" s="41">
        <v>18</v>
      </c>
      <c r="B20" s="43" t="s">
        <v>59</v>
      </c>
      <c r="C20" s="43">
        <v>50</v>
      </c>
      <c r="D20" s="42">
        <v>100</v>
      </c>
      <c r="E20" s="42">
        <f t="shared" si="0"/>
        <v>50</v>
      </c>
      <c r="F20" s="42" t="s">
        <v>519</v>
      </c>
      <c r="G20" s="42"/>
      <c r="H20" s="42"/>
      <c r="I20" s="42"/>
      <c r="J20" s="42">
        <f t="shared" si="1"/>
        <v>50</v>
      </c>
      <c r="K20" s="42">
        <v>50</v>
      </c>
      <c r="L20" s="42"/>
      <c r="M20" s="42"/>
      <c r="N20" s="42"/>
    </row>
    <row r="21" spans="1:14" ht="14.25" customHeight="1" x14ac:dyDescent="0.25">
      <c r="A21" s="41">
        <v>19</v>
      </c>
      <c r="B21" s="43" t="s">
        <v>77</v>
      </c>
      <c r="C21" s="43">
        <v>50</v>
      </c>
      <c r="D21" s="42">
        <v>109</v>
      </c>
      <c r="E21" s="42">
        <f t="shared" si="0"/>
        <v>59</v>
      </c>
      <c r="F21" s="42" t="s">
        <v>519</v>
      </c>
      <c r="G21" s="42"/>
      <c r="H21" s="42"/>
      <c r="I21" s="42"/>
      <c r="J21" s="42">
        <f t="shared" si="1"/>
        <v>59</v>
      </c>
      <c r="K21" s="42">
        <v>0</v>
      </c>
      <c r="L21" s="42"/>
      <c r="M21" s="42"/>
      <c r="N21" s="42"/>
    </row>
    <row r="22" spans="1:14" ht="14.25" customHeight="1" x14ac:dyDescent="0.25">
      <c r="A22" s="41">
        <v>20</v>
      </c>
      <c r="B22" s="43" t="s">
        <v>79</v>
      </c>
      <c r="C22" s="43">
        <v>50</v>
      </c>
      <c r="D22" s="42">
        <v>83</v>
      </c>
      <c r="E22" s="42">
        <f t="shared" si="0"/>
        <v>33</v>
      </c>
      <c r="F22" s="42" t="s">
        <v>519</v>
      </c>
      <c r="G22" s="42"/>
      <c r="H22" s="42"/>
      <c r="I22" s="42"/>
      <c r="J22" s="42">
        <f t="shared" si="1"/>
        <v>33</v>
      </c>
      <c r="K22" s="42">
        <v>0</v>
      </c>
      <c r="L22" s="42"/>
      <c r="M22" s="42"/>
      <c r="N22" s="42"/>
    </row>
    <row r="23" spans="1:14" ht="14.25" customHeight="1" x14ac:dyDescent="0.25">
      <c r="A23" s="41">
        <v>21</v>
      </c>
      <c r="B23" s="43" t="s">
        <v>10</v>
      </c>
      <c r="C23" s="43">
        <v>1000</v>
      </c>
      <c r="D23" s="42">
        <v>436</v>
      </c>
      <c r="E23" s="42">
        <f t="shared" si="0"/>
        <v>-564</v>
      </c>
      <c r="F23" s="42"/>
      <c r="G23" s="42">
        <v>200</v>
      </c>
      <c r="H23" s="42" t="s">
        <v>508</v>
      </c>
      <c r="I23" s="42"/>
      <c r="J23" s="42"/>
      <c r="K23" s="42"/>
      <c r="L23" s="42">
        <v>0</v>
      </c>
      <c r="M23" s="42"/>
      <c r="N23" s="42"/>
    </row>
    <row r="24" spans="1:14" ht="14.25" customHeight="1" x14ac:dyDescent="0.25">
      <c r="A24" s="41">
        <v>22</v>
      </c>
      <c r="B24" s="43" t="s">
        <v>12</v>
      </c>
      <c r="C24" s="43">
        <v>800</v>
      </c>
      <c r="D24" s="42">
        <v>403</v>
      </c>
      <c r="E24" s="42">
        <f t="shared" si="0"/>
        <v>-397</v>
      </c>
      <c r="F24" s="42"/>
      <c r="G24" s="42">
        <v>200</v>
      </c>
      <c r="H24" s="42">
        <v>150</v>
      </c>
      <c r="I24" s="42">
        <v>447</v>
      </c>
      <c r="J24" s="42"/>
      <c r="K24" s="42"/>
      <c r="L24" s="42">
        <v>150</v>
      </c>
      <c r="M24" s="42"/>
      <c r="N24" s="42"/>
    </row>
    <row r="25" spans="1:14" ht="14.25" customHeight="1" x14ac:dyDescent="0.25">
      <c r="A25" s="41">
        <v>23</v>
      </c>
      <c r="B25" s="43" t="s">
        <v>18</v>
      </c>
      <c r="C25" s="43">
        <v>1000</v>
      </c>
      <c r="D25" s="42">
        <v>222</v>
      </c>
      <c r="E25" s="42">
        <f t="shared" si="0"/>
        <v>-778</v>
      </c>
      <c r="F25" s="42"/>
      <c r="G25" s="42">
        <v>0</v>
      </c>
      <c r="H25" s="42" t="s">
        <v>508</v>
      </c>
      <c r="I25" s="42"/>
      <c r="J25" s="42"/>
      <c r="K25" s="42"/>
      <c r="L25" s="42">
        <v>0</v>
      </c>
      <c r="M25" s="42"/>
      <c r="N25" s="42"/>
    </row>
    <row r="26" spans="1:14" ht="14.25" customHeight="1" x14ac:dyDescent="0.25">
      <c r="A26" s="41">
        <v>24</v>
      </c>
      <c r="B26" s="43" t="s">
        <v>20</v>
      </c>
      <c r="C26" s="43">
        <v>500</v>
      </c>
      <c r="D26" s="42">
        <v>473</v>
      </c>
      <c r="E26" s="42">
        <f t="shared" si="0"/>
        <v>-27</v>
      </c>
      <c r="F26" s="42"/>
      <c r="G26" s="42">
        <v>300</v>
      </c>
      <c r="H26" s="42">
        <v>300</v>
      </c>
      <c r="I26" s="42">
        <v>26</v>
      </c>
      <c r="J26" s="42"/>
      <c r="K26" s="42"/>
      <c r="L26" s="42">
        <v>0</v>
      </c>
      <c r="M26" s="42"/>
      <c r="N26" s="42"/>
    </row>
    <row r="27" spans="1:14" ht="14.25" customHeight="1" x14ac:dyDescent="0.25">
      <c r="A27" s="41">
        <v>25</v>
      </c>
      <c r="B27" s="43" t="s">
        <v>26</v>
      </c>
      <c r="C27" s="43">
        <v>500</v>
      </c>
      <c r="D27" s="42">
        <v>-39</v>
      </c>
      <c r="E27" s="42">
        <f t="shared" si="0"/>
        <v>-539</v>
      </c>
      <c r="F27" s="42"/>
      <c r="G27" s="42">
        <v>180</v>
      </c>
      <c r="H27" s="42">
        <v>300</v>
      </c>
      <c r="I27" s="42">
        <v>188</v>
      </c>
      <c r="J27" s="42"/>
      <c r="K27" s="42"/>
      <c r="L27" s="42">
        <v>300</v>
      </c>
      <c r="M27" s="42"/>
      <c r="N27" s="42"/>
    </row>
    <row r="28" spans="1:14" ht="14.25" customHeight="1" x14ac:dyDescent="0.25">
      <c r="A28" s="41">
        <v>26</v>
      </c>
      <c r="B28" s="43" t="s">
        <v>28</v>
      </c>
      <c r="C28" s="43">
        <v>300</v>
      </c>
      <c r="D28" s="42">
        <v>230</v>
      </c>
      <c r="E28" s="42">
        <f t="shared" si="0"/>
        <v>-70</v>
      </c>
      <c r="F28" s="42"/>
      <c r="G28" s="42">
        <v>0</v>
      </c>
      <c r="H28" s="42" t="s">
        <v>508</v>
      </c>
      <c r="I28" s="42"/>
      <c r="J28" s="42"/>
      <c r="K28" s="42"/>
      <c r="L28" s="42">
        <v>0</v>
      </c>
      <c r="M28" s="42"/>
      <c r="N28" s="42"/>
    </row>
    <row r="29" spans="1:14" ht="14.25" customHeight="1" x14ac:dyDescent="0.25">
      <c r="A29" s="41">
        <v>27</v>
      </c>
      <c r="B29" s="43" t="s">
        <v>34</v>
      </c>
      <c r="C29" s="43">
        <v>500</v>
      </c>
      <c r="D29" s="42">
        <v>121</v>
      </c>
      <c r="E29" s="42">
        <f t="shared" si="0"/>
        <v>-379</v>
      </c>
      <c r="F29" s="42"/>
      <c r="G29" s="42">
        <v>0</v>
      </c>
      <c r="H29" s="42" t="s">
        <v>508</v>
      </c>
      <c r="I29" s="42"/>
      <c r="J29" s="42"/>
      <c r="K29" s="42"/>
      <c r="L29" s="42">
        <v>0</v>
      </c>
      <c r="M29" s="42"/>
      <c r="N29" s="42"/>
    </row>
    <row r="30" spans="1:14" ht="14.25" customHeight="1" x14ac:dyDescent="0.25">
      <c r="A30" s="41">
        <v>28</v>
      </c>
      <c r="B30" s="43" t="s">
        <v>36</v>
      </c>
      <c r="C30" s="43">
        <v>300</v>
      </c>
      <c r="D30" s="42">
        <v>184</v>
      </c>
      <c r="E30" s="42">
        <f t="shared" si="0"/>
        <v>-116</v>
      </c>
      <c r="F30" s="42"/>
      <c r="G30" s="42">
        <v>200</v>
      </c>
      <c r="H30" s="42">
        <v>245</v>
      </c>
      <c r="I30" s="42"/>
      <c r="J30" s="42">
        <f t="shared" si="1"/>
        <v>-361</v>
      </c>
      <c r="K30" s="42"/>
      <c r="L30" s="42">
        <v>245</v>
      </c>
      <c r="M30" s="42"/>
      <c r="N30" s="42"/>
    </row>
    <row r="31" spans="1:14" ht="14.25" customHeight="1" x14ac:dyDescent="0.25">
      <c r="A31" s="41">
        <v>29</v>
      </c>
      <c r="B31" s="43" t="s">
        <v>42</v>
      </c>
      <c r="C31" s="43">
        <v>500</v>
      </c>
      <c r="D31" s="42">
        <v>83</v>
      </c>
      <c r="E31" s="42">
        <f t="shared" si="0"/>
        <v>-417</v>
      </c>
      <c r="F31" s="42"/>
      <c r="G31" s="42">
        <v>300</v>
      </c>
      <c r="H31" s="42">
        <v>200</v>
      </c>
      <c r="I31" s="42">
        <v>161</v>
      </c>
      <c r="J31" s="42"/>
      <c r="K31" s="42"/>
      <c r="L31" s="42">
        <v>200</v>
      </c>
      <c r="M31" s="42"/>
      <c r="N31" s="42"/>
    </row>
    <row r="32" spans="1:14" ht="14.25" customHeight="1" x14ac:dyDescent="0.25">
      <c r="A32" s="41">
        <v>30</v>
      </c>
      <c r="B32" s="43" t="s">
        <v>44</v>
      </c>
      <c r="C32" s="43">
        <v>300</v>
      </c>
      <c r="D32" s="42">
        <v>137</v>
      </c>
      <c r="E32" s="42">
        <f t="shared" si="0"/>
        <v>-163</v>
      </c>
      <c r="F32" s="42"/>
      <c r="G32" s="42">
        <v>100</v>
      </c>
      <c r="H32" s="42">
        <v>130</v>
      </c>
      <c r="I32" s="42">
        <v>67</v>
      </c>
      <c r="J32" s="42"/>
      <c r="K32" s="42"/>
      <c r="L32" s="42">
        <v>100</v>
      </c>
      <c r="M32" s="42"/>
      <c r="N32" s="42"/>
    </row>
    <row r="33" spans="1:14" ht="14.25" customHeight="1" x14ac:dyDescent="0.25">
      <c r="A33" s="41">
        <v>31</v>
      </c>
      <c r="B33" s="43" t="s">
        <v>50</v>
      </c>
      <c r="C33" s="43">
        <v>300</v>
      </c>
      <c r="D33" s="42">
        <v>39</v>
      </c>
      <c r="E33" s="42">
        <f t="shared" si="0"/>
        <v>-261</v>
      </c>
      <c r="F33" s="42"/>
      <c r="G33" s="42">
        <v>200</v>
      </c>
      <c r="H33" s="42">
        <v>200</v>
      </c>
      <c r="I33" s="42">
        <v>46</v>
      </c>
      <c r="J33" s="42"/>
      <c r="K33" s="42"/>
      <c r="L33" s="42">
        <v>200</v>
      </c>
      <c r="M33" s="42"/>
      <c r="N33" s="42"/>
    </row>
    <row r="34" spans="1:14" ht="14.25" customHeight="1" x14ac:dyDescent="0.25">
      <c r="A34" s="41">
        <v>32</v>
      </c>
      <c r="B34" s="43" t="s">
        <v>52</v>
      </c>
      <c r="C34" s="43">
        <v>200</v>
      </c>
      <c r="D34" s="42">
        <v>49</v>
      </c>
      <c r="E34" s="42">
        <f t="shared" si="0"/>
        <v>-151</v>
      </c>
      <c r="F34" s="42"/>
      <c r="G34" s="42">
        <v>200</v>
      </c>
      <c r="H34" s="42">
        <v>200</v>
      </c>
      <c r="I34" s="42">
        <v>16</v>
      </c>
      <c r="J34" s="42"/>
      <c r="K34" s="42"/>
      <c r="L34" s="42">
        <v>200</v>
      </c>
      <c r="M34" s="42"/>
      <c r="N34" s="42"/>
    </row>
    <row r="35" spans="1:14" ht="14.25" customHeight="1" x14ac:dyDescent="0.25">
      <c r="A35" s="41">
        <v>33</v>
      </c>
      <c r="B35" s="43" t="s">
        <v>58</v>
      </c>
      <c r="C35" s="43">
        <v>100</v>
      </c>
      <c r="D35" s="42">
        <v>28</v>
      </c>
      <c r="E35" s="42">
        <f t="shared" si="0"/>
        <v>-72</v>
      </c>
      <c r="F35" s="42"/>
      <c r="G35" s="42">
        <v>80</v>
      </c>
      <c r="H35" s="42">
        <v>60</v>
      </c>
      <c r="I35" s="42">
        <v>8</v>
      </c>
      <c r="J35" s="42"/>
      <c r="K35" s="42"/>
      <c r="L35" s="42">
        <v>50</v>
      </c>
      <c r="M35" s="42"/>
      <c r="N35" s="42"/>
    </row>
    <row r="36" spans="1:14" ht="14.25" customHeight="1" x14ac:dyDescent="0.25">
      <c r="A36" s="41">
        <v>34</v>
      </c>
      <c r="B36" s="43" t="s">
        <v>60</v>
      </c>
      <c r="C36" s="43">
        <v>100</v>
      </c>
      <c r="D36" s="42">
        <v>26</v>
      </c>
      <c r="E36" s="42">
        <f t="shared" si="0"/>
        <v>-74</v>
      </c>
      <c r="F36" s="42"/>
      <c r="G36" s="42">
        <v>0</v>
      </c>
      <c r="H36" s="42">
        <v>5</v>
      </c>
      <c r="I36" s="42">
        <v>71</v>
      </c>
      <c r="J36" s="42"/>
      <c r="K36" s="42"/>
      <c r="L36" s="42">
        <v>0</v>
      </c>
      <c r="M36" s="42"/>
      <c r="N36" s="42"/>
    </row>
    <row r="37" spans="1:14" ht="14.25" customHeight="1" x14ac:dyDescent="0.25">
      <c r="A37" s="41">
        <v>35</v>
      </c>
      <c r="B37" s="43" t="s">
        <v>198</v>
      </c>
      <c r="C37" s="43">
        <v>150</v>
      </c>
      <c r="D37" s="42">
        <v>-99</v>
      </c>
      <c r="E37" s="42">
        <f t="shared" si="0"/>
        <v>-249</v>
      </c>
      <c r="F37" s="42"/>
      <c r="G37" s="42">
        <v>180</v>
      </c>
      <c r="H37" s="42">
        <v>180</v>
      </c>
      <c r="I37" s="42"/>
      <c r="J37" s="42">
        <f t="shared" si="1"/>
        <v>-429</v>
      </c>
      <c r="K37" s="42">
        <v>0</v>
      </c>
      <c r="L37" s="42"/>
      <c r="M37" s="42"/>
      <c r="N37" s="42"/>
    </row>
    <row r="38" spans="1:14" ht="14.25" customHeight="1" x14ac:dyDescent="0.25">
      <c r="A38" s="41">
        <v>36</v>
      </c>
      <c r="B38" s="43" t="s">
        <v>200</v>
      </c>
      <c r="C38" s="43">
        <v>100</v>
      </c>
      <c r="D38" s="42">
        <v>-48</v>
      </c>
      <c r="E38" s="42">
        <f t="shared" si="0"/>
        <v>-148</v>
      </c>
      <c r="F38" s="42"/>
      <c r="G38" s="42">
        <v>130</v>
      </c>
      <c r="H38" s="42">
        <v>130</v>
      </c>
      <c r="I38" s="42"/>
      <c r="J38" s="42">
        <f t="shared" si="1"/>
        <v>-278</v>
      </c>
      <c r="K38" s="42">
        <v>3</v>
      </c>
      <c r="L38" s="42"/>
      <c r="M38" s="42"/>
      <c r="N38" s="42"/>
    </row>
    <row r="39" spans="1:14" ht="14.25" customHeight="1" x14ac:dyDescent="0.25">
      <c r="A39" s="41">
        <v>37</v>
      </c>
      <c r="B39" s="43" t="s">
        <v>210</v>
      </c>
      <c r="C39" s="43">
        <v>50</v>
      </c>
      <c r="D39" s="42">
        <v>1</v>
      </c>
      <c r="E39" s="42">
        <f t="shared" si="0"/>
        <v>-49</v>
      </c>
      <c r="F39" s="42"/>
      <c r="G39" s="42">
        <v>0</v>
      </c>
      <c r="H39" s="42">
        <v>0</v>
      </c>
      <c r="I39" s="42">
        <v>50</v>
      </c>
      <c r="J39" s="42"/>
      <c r="K39" s="42">
        <v>0</v>
      </c>
      <c r="L39" s="42"/>
      <c r="M39" s="42"/>
      <c r="N39" s="42"/>
    </row>
    <row r="40" spans="1:14" ht="14.25" customHeight="1" x14ac:dyDescent="0.25">
      <c r="A40" s="41">
        <v>38</v>
      </c>
      <c r="B40" s="43" t="s">
        <v>212</v>
      </c>
      <c r="C40" s="43">
        <v>50</v>
      </c>
      <c r="D40" s="42">
        <v>4</v>
      </c>
      <c r="E40" s="42">
        <f t="shared" si="0"/>
        <v>-46</v>
      </c>
      <c r="F40" s="42"/>
      <c r="G40" s="42">
        <v>0</v>
      </c>
      <c r="H40" s="42">
        <v>0</v>
      </c>
      <c r="I40" s="42">
        <v>46</v>
      </c>
      <c r="J40" s="42"/>
      <c r="K40" s="42">
        <v>0</v>
      </c>
      <c r="L40" s="42"/>
      <c r="M40" s="42"/>
      <c r="N40" s="42"/>
    </row>
    <row r="41" spans="1:14" ht="14.25" customHeight="1" x14ac:dyDescent="0.25">
      <c r="A41" s="41">
        <v>39</v>
      </c>
      <c r="B41" s="43" t="s">
        <v>202</v>
      </c>
      <c r="C41" s="43">
        <v>50</v>
      </c>
      <c r="D41" s="42">
        <v>4</v>
      </c>
      <c r="E41" s="42">
        <f t="shared" si="0"/>
        <v>-46</v>
      </c>
      <c r="F41" s="42"/>
      <c r="G41" s="42">
        <v>30</v>
      </c>
      <c r="H41" s="42">
        <v>18</v>
      </c>
      <c r="I41" s="42"/>
      <c r="J41" s="42">
        <f t="shared" si="1"/>
        <v>-64</v>
      </c>
      <c r="K41" s="42">
        <v>13</v>
      </c>
      <c r="L41" s="42"/>
      <c r="M41" s="42"/>
      <c r="N41" s="42"/>
    </row>
    <row r="42" spans="1:14" ht="14.25" customHeight="1" x14ac:dyDescent="0.25">
      <c r="A42" s="41">
        <v>40</v>
      </c>
      <c r="B42" s="43" t="s">
        <v>204</v>
      </c>
      <c r="C42" s="43">
        <v>50</v>
      </c>
      <c r="D42" s="42">
        <v>49</v>
      </c>
      <c r="E42" s="42">
        <f t="shared" si="0"/>
        <v>-1</v>
      </c>
      <c r="F42" s="42"/>
      <c r="G42" s="42">
        <v>80</v>
      </c>
      <c r="H42" s="42">
        <v>80</v>
      </c>
      <c r="I42" s="42"/>
      <c r="J42" s="42">
        <f t="shared" si="1"/>
        <v>-81</v>
      </c>
      <c r="K42" s="42">
        <v>28</v>
      </c>
      <c r="L42" s="42"/>
      <c r="M42" s="42"/>
      <c r="N42" s="42"/>
    </row>
    <row r="43" spans="1:14" ht="14.25" customHeight="1" x14ac:dyDescent="0.25">
      <c r="A43" s="41">
        <v>41</v>
      </c>
      <c r="B43" s="43" t="s">
        <v>206</v>
      </c>
      <c r="C43" s="43">
        <v>30</v>
      </c>
      <c r="D43" s="42">
        <v>14</v>
      </c>
      <c r="E43" s="42">
        <f t="shared" si="0"/>
        <v>-16</v>
      </c>
      <c r="F43" s="42"/>
      <c r="G43" s="42">
        <v>10</v>
      </c>
      <c r="H43" s="42">
        <v>10</v>
      </c>
      <c r="I43" s="42">
        <v>6</v>
      </c>
      <c r="J43" s="42"/>
      <c r="K43" s="42">
        <v>0</v>
      </c>
      <c r="L43" s="42"/>
      <c r="M43" s="42"/>
      <c r="N43" s="42"/>
    </row>
    <row r="44" spans="1:14" ht="14.25" customHeight="1" x14ac:dyDescent="0.25">
      <c r="A44" s="41">
        <v>42</v>
      </c>
      <c r="B44" s="43" t="s">
        <v>208</v>
      </c>
      <c r="C44" s="43">
        <v>30</v>
      </c>
      <c r="D44" s="42">
        <v>11</v>
      </c>
      <c r="E44" s="42">
        <f t="shared" si="0"/>
        <v>-19</v>
      </c>
      <c r="F44" s="42"/>
      <c r="G44" s="42">
        <v>20</v>
      </c>
      <c r="H44" s="42">
        <v>20</v>
      </c>
      <c r="I44" s="42">
        <v>5</v>
      </c>
      <c r="J44" s="42"/>
      <c r="K44" s="42">
        <v>14</v>
      </c>
      <c r="L44" s="42"/>
      <c r="M44" s="42"/>
      <c r="N44" s="42"/>
    </row>
    <row r="45" spans="1:14" ht="14.25" customHeight="1" x14ac:dyDescent="0.25">
      <c r="A45" s="41">
        <v>43</v>
      </c>
      <c r="B45" s="43" t="s">
        <v>150</v>
      </c>
      <c r="C45" s="43">
        <v>50</v>
      </c>
      <c r="D45" s="42">
        <v>50</v>
      </c>
      <c r="E45" s="42">
        <f t="shared" si="0"/>
        <v>0</v>
      </c>
      <c r="F45" s="42"/>
      <c r="G45" s="42">
        <v>0</v>
      </c>
      <c r="H45" s="42">
        <v>0</v>
      </c>
      <c r="I45" s="42"/>
      <c r="J45" s="42"/>
      <c r="K45" s="42">
        <v>30</v>
      </c>
      <c r="L45" s="42"/>
      <c r="M45" s="42"/>
      <c r="N45" s="42"/>
    </row>
    <row r="46" spans="1:14" ht="14.25" customHeight="1" x14ac:dyDescent="0.25">
      <c r="A46" s="41">
        <v>44</v>
      </c>
      <c r="B46" s="43" t="s">
        <v>152</v>
      </c>
      <c r="C46" s="43">
        <v>50</v>
      </c>
      <c r="D46" s="42">
        <v>-12</v>
      </c>
      <c r="E46" s="42">
        <f t="shared" si="0"/>
        <v>-62</v>
      </c>
      <c r="F46" s="42"/>
      <c r="G46" s="42">
        <v>50</v>
      </c>
      <c r="H46" s="42">
        <v>50</v>
      </c>
      <c r="I46" s="42"/>
      <c r="J46" s="42">
        <f t="shared" si="1"/>
        <v>-112</v>
      </c>
      <c r="K46" s="42">
        <v>20</v>
      </c>
      <c r="L46" s="42"/>
      <c r="M46" s="42"/>
      <c r="N46" s="42"/>
    </row>
    <row r="47" spans="1:14" ht="13.5" customHeight="1" x14ac:dyDescent="0.25">
      <c r="A47" s="41">
        <v>45</v>
      </c>
      <c r="B47" s="43" t="s">
        <v>154</v>
      </c>
      <c r="C47" s="43">
        <v>30</v>
      </c>
      <c r="D47" s="42">
        <v>10</v>
      </c>
      <c r="E47" s="42">
        <f t="shared" si="0"/>
        <v>-20</v>
      </c>
      <c r="F47" s="42"/>
      <c r="G47" s="42">
        <v>20</v>
      </c>
      <c r="H47" s="42">
        <v>20</v>
      </c>
      <c r="I47" s="42"/>
      <c r="J47" s="42">
        <f t="shared" si="1"/>
        <v>-40</v>
      </c>
      <c r="K47" s="42">
        <v>20</v>
      </c>
      <c r="L47" s="42"/>
      <c r="M47" s="42"/>
      <c r="N47" s="42"/>
    </row>
    <row r="48" spans="1:14" ht="14.25" customHeight="1" x14ac:dyDescent="0.25">
      <c r="A48" s="41">
        <v>46</v>
      </c>
      <c r="B48" s="43" t="s">
        <v>156</v>
      </c>
      <c r="C48" s="43">
        <v>30</v>
      </c>
      <c r="D48" s="42">
        <v>2</v>
      </c>
      <c r="E48" s="42">
        <f t="shared" si="0"/>
        <v>-28</v>
      </c>
      <c r="F48" s="42"/>
      <c r="G48" s="42">
        <v>50</v>
      </c>
      <c r="H48" s="42">
        <v>50</v>
      </c>
      <c r="I48" s="42"/>
      <c r="J48" s="42">
        <f t="shared" si="1"/>
        <v>-78</v>
      </c>
      <c r="K48" s="42">
        <v>49</v>
      </c>
      <c r="L48" s="42"/>
      <c r="M48" s="42"/>
      <c r="N48" s="42"/>
    </row>
    <row r="49" spans="1:14" ht="14.25" customHeight="1" x14ac:dyDescent="0.25">
      <c r="A49" s="41">
        <v>47</v>
      </c>
      <c r="B49" s="43" t="s">
        <v>158</v>
      </c>
      <c r="C49" s="43">
        <v>20</v>
      </c>
      <c r="D49" s="42">
        <v>11</v>
      </c>
      <c r="E49" s="42">
        <f t="shared" si="0"/>
        <v>-9</v>
      </c>
      <c r="F49" s="42"/>
      <c r="G49" s="42">
        <v>11</v>
      </c>
      <c r="H49" s="42">
        <v>11</v>
      </c>
      <c r="I49" s="42"/>
      <c r="J49" s="42">
        <f t="shared" si="1"/>
        <v>-20</v>
      </c>
      <c r="K49" s="42">
        <v>3</v>
      </c>
      <c r="L49" s="42"/>
      <c r="M49" s="42"/>
      <c r="N49" s="42"/>
    </row>
    <row r="50" spans="1:14" ht="14.25" customHeight="1" x14ac:dyDescent="0.25">
      <c r="A50" s="41">
        <v>48</v>
      </c>
      <c r="B50" s="43" t="s">
        <v>160</v>
      </c>
      <c r="C50" s="43">
        <v>20</v>
      </c>
      <c r="D50" s="42">
        <v>13</v>
      </c>
      <c r="E50" s="42">
        <f t="shared" si="0"/>
        <v>-7</v>
      </c>
      <c r="F50" s="42"/>
      <c r="G50" s="42">
        <v>0</v>
      </c>
      <c r="H50" s="42">
        <v>0</v>
      </c>
      <c r="I50" s="42">
        <v>7</v>
      </c>
      <c r="J50" s="42"/>
      <c r="K50" s="42">
        <v>0</v>
      </c>
      <c r="L50" s="42"/>
      <c r="M50" s="42"/>
      <c r="N50" s="42"/>
    </row>
    <row r="51" spans="1:14" ht="14.25" customHeight="1" x14ac:dyDescent="0.25">
      <c r="A51" s="41">
        <v>49</v>
      </c>
      <c r="B51" s="43" t="s">
        <v>226</v>
      </c>
      <c r="C51" s="43">
        <v>50</v>
      </c>
      <c r="D51" s="42">
        <v>12</v>
      </c>
      <c r="E51" s="42">
        <f t="shared" si="0"/>
        <v>-38</v>
      </c>
      <c r="F51" s="42"/>
      <c r="G51" s="42">
        <v>60</v>
      </c>
      <c r="H51" s="42">
        <v>60</v>
      </c>
      <c r="I51" s="42"/>
      <c r="J51" s="42">
        <f t="shared" si="1"/>
        <v>-98</v>
      </c>
      <c r="K51" s="42">
        <v>0</v>
      </c>
      <c r="L51" s="42"/>
      <c r="M51" s="42"/>
      <c r="N51" s="42"/>
    </row>
    <row r="52" spans="1:14" ht="14.25" customHeight="1" x14ac:dyDescent="0.25">
      <c r="A52" s="41">
        <v>50</v>
      </c>
      <c r="B52" s="43" t="s">
        <v>228</v>
      </c>
      <c r="C52" s="43">
        <v>50</v>
      </c>
      <c r="D52" s="42">
        <v>-12</v>
      </c>
      <c r="E52" s="42">
        <f t="shared" si="0"/>
        <v>-62</v>
      </c>
      <c r="F52" s="42"/>
      <c r="G52" s="42">
        <v>60</v>
      </c>
      <c r="H52" s="42">
        <v>60</v>
      </c>
      <c r="I52" s="42"/>
      <c r="J52" s="42">
        <f t="shared" si="1"/>
        <v>-122</v>
      </c>
      <c r="K52" s="42">
        <v>3</v>
      </c>
      <c r="L52" s="42"/>
      <c r="M52" s="42"/>
      <c r="N52" s="42"/>
    </row>
    <row r="53" spans="1:14" ht="14.25" customHeight="1" x14ac:dyDescent="0.25">
      <c r="A53" s="41">
        <v>51</v>
      </c>
      <c r="B53" s="43" t="s">
        <v>230</v>
      </c>
      <c r="C53" s="43">
        <v>30</v>
      </c>
      <c r="D53" s="42">
        <v>35</v>
      </c>
      <c r="E53" s="42">
        <f t="shared" si="0"/>
        <v>5</v>
      </c>
      <c r="F53" s="42" t="s">
        <v>519</v>
      </c>
      <c r="G53" s="42"/>
      <c r="H53" s="42"/>
      <c r="I53" s="42"/>
      <c r="J53" s="42">
        <f t="shared" si="1"/>
        <v>5</v>
      </c>
      <c r="K53" s="42">
        <v>15</v>
      </c>
      <c r="L53" s="42"/>
      <c r="M53" s="42"/>
      <c r="N53" s="42"/>
    </row>
    <row r="54" spans="1:14" ht="14.25" customHeight="1" x14ac:dyDescent="0.25">
      <c r="A54" s="41">
        <v>52</v>
      </c>
      <c r="B54" s="43" t="s">
        <v>231</v>
      </c>
      <c r="C54" s="43">
        <v>20</v>
      </c>
      <c r="D54" s="42">
        <v>14</v>
      </c>
      <c r="E54" s="42">
        <f t="shared" si="0"/>
        <v>-6</v>
      </c>
      <c r="F54" s="42"/>
      <c r="G54" s="42">
        <v>50</v>
      </c>
      <c r="H54" s="42">
        <v>50</v>
      </c>
      <c r="I54" s="42"/>
      <c r="J54" s="42">
        <f t="shared" si="1"/>
        <v>-56</v>
      </c>
      <c r="K54" s="42">
        <v>50</v>
      </c>
      <c r="L54" s="42"/>
      <c r="M54" s="42"/>
      <c r="N54" s="42"/>
    </row>
    <row r="55" spans="1:14" ht="14.25" customHeight="1" x14ac:dyDescent="0.25">
      <c r="A55" s="41">
        <v>53</v>
      </c>
      <c r="B55" s="43" t="s">
        <v>232</v>
      </c>
      <c r="C55" s="43">
        <v>20</v>
      </c>
      <c r="D55" s="42">
        <v>1</v>
      </c>
      <c r="E55" s="42">
        <f t="shared" si="0"/>
        <v>-19</v>
      </c>
      <c r="F55" s="42"/>
      <c r="G55" s="42">
        <v>30</v>
      </c>
      <c r="H55" s="42">
        <v>0</v>
      </c>
      <c r="I55" s="42"/>
      <c r="J55" s="42"/>
      <c r="K55" s="42">
        <v>0</v>
      </c>
      <c r="L55" s="42"/>
      <c r="M55" s="42"/>
      <c r="N55" s="42"/>
    </row>
    <row r="56" spans="1:14" ht="14.25" customHeight="1" x14ac:dyDescent="0.25">
      <c r="A56" s="41">
        <v>54</v>
      </c>
      <c r="B56" s="43" t="s">
        <v>233</v>
      </c>
      <c r="C56" s="43">
        <v>20</v>
      </c>
      <c r="D56" s="42">
        <v>28</v>
      </c>
      <c r="E56" s="42">
        <f t="shared" si="0"/>
        <v>8</v>
      </c>
      <c r="F56" s="42" t="s">
        <v>519</v>
      </c>
      <c r="G56" s="42"/>
      <c r="H56" s="42"/>
      <c r="I56" s="42"/>
      <c r="J56" s="42">
        <f t="shared" si="1"/>
        <v>8</v>
      </c>
      <c r="K56" s="42">
        <v>0</v>
      </c>
      <c r="L56" s="42"/>
      <c r="M56" s="42"/>
      <c r="N56" s="42"/>
    </row>
    <row r="57" spans="1:14" ht="14.25" customHeight="1" x14ac:dyDescent="0.25">
      <c r="A57" s="41">
        <v>55</v>
      </c>
      <c r="B57" s="44" t="s">
        <v>133</v>
      </c>
      <c r="C57" s="44">
        <v>400</v>
      </c>
      <c r="D57" s="42">
        <v>43</v>
      </c>
      <c r="E57" s="42">
        <f t="shared" si="0"/>
        <v>-357</v>
      </c>
      <c r="F57" s="42"/>
      <c r="G57" s="42">
        <v>254</v>
      </c>
      <c r="H57" s="42">
        <v>254</v>
      </c>
      <c r="I57" s="42">
        <v>16</v>
      </c>
      <c r="J57" s="42"/>
      <c r="K57" s="42">
        <v>254</v>
      </c>
      <c r="L57" s="42"/>
      <c r="M57" s="42"/>
      <c r="N57" s="42"/>
    </row>
    <row r="58" spans="1:14" ht="14.25" customHeight="1" x14ac:dyDescent="0.25">
      <c r="A58" s="41">
        <v>56</v>
      </c>
      <c r="B58" s="44" t="s">
        <v>135</v>
      </c>
      <c r="C58" s="44">
        <v>300</v>
      </c>
      <c r="D58" s="42">
        <v>56</v>
      </c>
      <c r="E58" s="42">
        <f t="shared" si="0"/>
        <v>-244</v>
      </c>
      <c r="F58" s="42"/>
      <c r="G58" s="42">
        <v>150</v>
      </c>
      <c r="H58" s="42">
        <v>150</v>
      </c>
      <c r="I58" s="42">
        <v>59</v>
      </c>
      <c r="J58" s="42"/>
      <c r="K58" s="42">
        <v>150</v>
      </c>
      <c r="L58" s="42"/>
      <c r="M58" s="42"/>
      <c r="N58" s="42"/>
    </row>
    <row r="59" spans="1:14" ht="14.25" customHeight="1" x14ac:dyDescent="0.25">
      <c r="A59" s="41">
        <v>57</v>
      </c>
      <c r="B59" s="44" t="s">
        <v>137</v>
      </c>
      <c r="C59" s="44">
        <v>200</v>
      </c>
      <c r="D59" s="42">
        <v>14</v>
      </c>
      <c r="E59" s="42">
        <f t="shared" si="0"/>
        <v>-186</v>
      </c>
      <c r="F59" s="42"/>
      <c r="G59" s="42">
        <v>50</v>
      </c>
      <c r="H59" s="42">
        <v>50</v>
      </c>
      <c r="I59" s="42">
        <v>124</v>
      </c>
      <c r="J59" s="42"/>
      <c r="K59" s="42">
        <v>50</v>
      </c>
      <c r="L59" s="42"/>
      <c r="M59" s="42"/>
      <c r="N59" s="42"/>
    </row>
    <row r="60" spans="1:14" ht="14.25" customHeight="1" x14ac:dyDescent="0.25">
      <c r="A60" s="41">
        <v>58</v>
      </c>
      <c r="B60" s="44" t="s">
        <v>139</v>
      </c>
      <c r="C60" s="44">
        <v>150</v>
      </c>
      <c r="D60" s="42">
        <v>17</v>
      </c>
      <c r="E60" s="42">
        <f t="shared" si="0"/>
        <v>-133</v>
      </c>
      <c r="F60" s="42"/>
      <c r="G60" s="42">
        <v>81</v>
      </c>
      <c r="H60" s="42">
        <v>81</v>
      </c>
      <c r="I60" s="42">
        <v>52</v>
      </c>
      <c r="J60" s="42"/>
      <c r="K60" s="42">
        <v>81</v>
      </c>
      <c r="L60" s="42"/>
      <c r="M60" s="42"/>
      <c r="N60" s="42"/>
    </row>
    <row r="61" spans="1:14" ht="14.25" customHeight="1" x14ac:dyDescent="0.25">
      <c r="A61" s="41">
        <v>59</v>
      </c>
      <c r="B61" s="44" t="s">
        <v>169</v>
      </c>
      <c r="C61" s="44">
        <v>200</v>
      </c>
      <c r="D61" s="42">
        <v>12</v>
      </c>
      <c r="E61" s="42">
        <f t="shared" si="0"/>
        <v>-188</v>
      </c>
      <c r="F61" s="42"/>
      <c r="G61" s="42">
        <v>59</v>
      </c>
      <c r="H61" s="42">
        <v>59</v>
      </c>
      <c r="I61" s="42">
        <v>98</v>
      </c>
      <c r="J61" s="42"/>
      <c r="K61" s="42">
        <v>59</v>
      </c>
      <c r="L61" s="42"/>
      <c r="M61" s="42"/>
      <c r="N61" s="42"/>
    </row>
    <row r="62" spans="1:14" ht="14.25" customHeight="1" x14ac:dyDescent="0.25">
      <c r="A62" s="41">
        <v>60</v>
      </c>
      <c r="B62" s="44" t="s">
        <v>171</v>
      </c>
      <c r="C62" s="44">
        <v>100</v>
      </c>
      <c r="D62" s="42">
        <v>30</v>
      </c>
      <c r="E62" s="42">
        <f t="shared" si="0"/>
        <v>-70</v>
      </c>
      <c r="F62" s="42"/>
      <c r="G62" s="42">
        <v>90</v>
      </c>
      <c r="H62" s="42">
        <v>90</v>
      </c>
      <c r="I62" s="42"/>
      <c r="J62" s="42">
        <f t="shared" si="1"/>
        <v>-160</v>
      </c>
      <c r="K62" s="42">
        <v>90</v>
      </c>
      <c r="L62" s="42"/>
      <c r="M62" s="42"/>
      <c r="N62" s="42"/>
    </row>
    <row r="63" spans="1:14" ht="14.25" customHeight="1" x14ac:dyDescent="0.25">
      <c r="A63" s="41">
        <v>61</v>
      </c>
      <c r="B63" s="44" t="s">
        <v>173</v>
      </c>
      <c r="C63" s="44">
        <v>50</v>
      </c>
      <c r="D63" s="42">
        <v>14</v>
      </c>
      <c r="E63" s="42">
        <f t="shared" si="0"/>
        <v>-36</v>
      </c>
      <c r="F63" s="42"/>
      <c r="G63" s="42">
        <v>0</v>
      </c>
      <c r="H63" s="42">
        <v>0</v>
      </c>
      <c r="I63" s="42">
        <v>36</v>
      </c>
      <c r="J63" s="42"/>
      <c r="K63" s="42">
        <v>0</v>
      </c>
      <c r="L63" s="42"/>
      <c r="M63" s="42"/>
      <c r="N63" s="42"/>
    </row>
    <row r="64" spans="1:14" ht="14.25" customHeight="1" x14ac:dyDescent="0.25">
      <c r="A64" s="41">
        <v>62</v>
      </c>
      <c r="B64" s="44" t="s">
        <v>175</v>
      </c>
      <c r="C64" s="44">
        <v>50</v>
      </c>
      <c r="D64" s="42">
        <v>16</v>
      </c>
      <c r="E64" s="42">
        <f t="shared" si="0"/>
        <v>-34</v>
      </c>
      <c r="F64" s="42"/>
      <c r="G64" s="42">
        <v>0</v>
      </c>
      <c r="H64" s="42">
        <v>0</v>
      </c>
      <c r="I64" s="42">
        <v>34</v>
      </c>
      <c r="J64" s="42"/>
      <c r="K64" s="42">
        <v>0</v>
      </c>
      <c r="L64" s="42"/>
      <c r="M64" s="42"/>
      <c r="N64" s="42"/>
    </row>
    <row r="65" spans="1:14" ht="14.25" customHeight="1" x14ac:dyDescent="0.25">
      <c r="A65" s="41">
        <v>63</v>
      </c>
      <c r="B65" s="44" t="s">
        <v>153</v>
      </c>
      <c r="C65" s="44">
        <v>200</v>
      </c>
      <c r="D65" s="42">
        <v>15</v>
      </c>
      <c r="E65" s="42">
        <f t="shared" si="0"/>
        <v>-185</v>
      </c>
      <c r="F65" s="42"/>
      <c r="G65" s="42">
        <v>67</v>
      </c>
      <c r="H65" s="42">
        <v>67</v>
      </c>
      <c r="I65" s="42">
        <v>100</v>
      </c>
      <c r="J65" s="42"/>
      <c r="K65" s="42">
        <v>67</v>
      </c>
      <c r="L65" s="42"/>
      <c r="M65" s="42"/>
      <c r="N65" s="42"/>
    </row>
    <row r="66" spans="1:14" ht="14.25" customHeight="1" x14ac:dyDescent="0.25">
      <c r="A66" s="41">
        <v>64</v>
      </c>
      <c r="B66" s="44" t="s">
        <v>155</v>
      </c>
      <c r="C66" s="44">
        <v>100</v>
      </c>
      <c r="D66" s="42">
        <v>55</v>
      </c>
      <c r="E66" s="42">
        <f t="shared" si="0"/>
        <v>-45</v>
      </c>
      <c r="F66" s="42"/>
      <c r="G66" s="42">
        <v>50</v>
      </c>
      <c r="H66" s="42">
        <v>11</v>
      </c>
      <c r="I66" s="42"/>
      <c r="J66" s="42">
        <f t="shared" si="1"/>
        <v>-56</v>
      </c>
      <c r="K66" s="42">
        <v>11</v>
      </c>
      <c r="L66" s="42"/>
      <c r="M66" s="42"/>
      <c r="N66" s="42"/>
    </row>
    <row r="67" spans="1:14" ht="14.25" customHeight="1" x14ac:dyDescent="0.25">
      <c r="A67" s="41">
        <v>65</v>
      </c>
      <c r="B67" s="44" t="s">
        <v>157</v>
      </c>
      <c r="C67" s="44">
        <v>30</v>
      </c>
      <c r="D67" s="42">
        <v>60</v>
      </c>
      <c r="E67" s="42">
        <f t="shared" si="0"/>
        <v>30</v>
      </c>
      <c r="F67" s="42" t="s">
        <v>519</v>
      </c>
      <c r="G67" s="42"/>
      <c r="H67" s="42">
        <v>0</v>
      </c>
      <c r="I67" s="42"/>
      <c r="J67" s="42">
        <f t="shared" si="1"/>
        <v>30</v>
      </c>
      <c r="K67" s="42">
        <v>0</v>
      </c>
      <c r="L67" s="42"/>
      <c r="M67" s="42"/>
      <c r="N67" s="42"/>
    </row>
    <row r="68" spans="1:14" ht="14.25" customHeight="1" x14ac:dyDescent="0.25">
      <c r="A68" s="41">
        <v>66</v>
      </c>
      <c r="B68" s="44" t="s">
        <v>159</v>
      </c>
      <c r="C68" s="44">
        <v>30</v>
      </c>
      <c r="D68" s="42">
        <v>4</v>
      </c>
      <c r="E68" s="42">
        <f t="shared" ref="E68:E131" si="2">D68-C68</f>
        <v>-26</v>
      </c>
      <c r="F68" s="42"/>
      <c r="G68" s="42">
        <v>0</v>
      </c>
      <c r="H68" s="42">
        <v>30</v>
      </c>
      <c r="I68" s="42"/>
      <c r="J68" s="42">
        <f t="shared" ref="J68:J127" si="3">E68-H68</f>
        <v>-56</v>
      </c>
      <c r="K68" s="42">
        <v>30</v>
      </c>
      <c r="L68" s="42"/>
      <c r="M68" s="42"/>
      <c r="N68" s="42"/>
    </row>
    <row r="69" spans="1:14" ht="14.25" customHeight="1" x14ac:dyDescent="0.25">
      <c r="A69" s="41">
        <v>67</v>
      </c>
      <c r="B69" s="44" t="s">
        <v>185</v>
      </c>
      <c r="C69" s="44">
        <v>50</v>
      </c>
      <c r="D69" s="42">
        <v>2</v>
      </c>
      <c r="E69" s="42">
        <f t="shared" si="2"/>
        <v>-48</v>
      </c>
      <c r="F69" s="42"/>
      <c r="G69" s="42">
        <v>30</v>
      </c>
      <c r="H69" s="42">
        <v>30</v>
      </c>
      <c r="I69" s="42">
        <v>18</v>
      </c>
      <c r="J69" s="42"/>
      <c r="K69" s="42">
        <v>30</v>
      </c>
      <c r="L69" s="42"/>
      <c r="M69" s="42"/>
      <c r="N69" s="42"/>
    </row>
    <row r="70" spans="1:14" ht="14.25" customHeight="1" x14ac:dyDescent="0.25">
      <c r="A70" s="41">
        <v>68</v>
      </c>
      <c r="B70" s="44" t="s">
        <v>187</v>
      </c>
      <c r="C70" s="44">
        <v>50</v>
      </c>
      <c r="D70" s="42">
        <v>30</v>
      </c>
      <c r="E70" s="42">
        <f t="shared" si="2"/>
        <v>-20</v>
      </c>
      <c r="F70" s="42"/>
      <c r="G70" s="42">
        <v>30</v>
      </c>
      <c r="H70" s="42">
        <v>30</v>
      </c>
      <c r="I70" s="42"/>
      <c r="J70" s="42">
        <f t="shared" si="3"/>
        <v>-50</v>
      </c>
      <c r="K70" s="42">
        <v>30</v>
      </c>
      <c r="L70" s="42"/>
      <c r="M70" s="42"/>
      <c r="N70" s="42"/>
    </row>
    <row r="71" spans="1:14" ht="14.25" customHeight="1" x14ac:dyDescent="0.25">
      <c r="A71" s="41">
        <v>69</v>
      </c>
      <c r="B71" s="44" t="s">
        <v>205</v>
      </c>
      <c r="C71" s="44">
        <v>50</v>
      </c>
      <c r="D71" s="42">
        <v>26</v>
      </c>
      <c r="E71" s="42">
        <f t="shared" si="2"/>
        <v>-24</v>
      </c>
      <c r="F71" s="42"/>
      <c r="G71" s="42">
        <v>30</v>
      </c>
      <c r="H71" s="42">
        <v>30</v>
      </c>
      <c r="I71" s="42"/>
      <c r="J71" s="42">
        <f t="shared" si="3"/>
        <v>-54</v>
      </c>
      <c r="K71" s="42">
        <v>30</v>
      </c>
      <c r="L71" s="42"/>
      <c r="M71" s="42"/>
      <c r="N71" s="42"/>
    </row>
    <row r="72" spans="1:14" ht="14.25" customHeight="1" x14ac:dyDescent="0.25">
      <c r="A72" s="41">
        <v>70</v>
      </c>
      <c r="B72" s="44" t="s">
        <v>207</v>
      </c>
      <c r="C72" s="44">
        <v>50</v>
      </c>
      <c r="D72" s="42">
        <v>69</v>
      </c>
      <c r="E72" s="42">
        <f t="shared" si="2"/>
        <v>19</v>
      </c>
      <c r="F72" s="42"/>
      <c r="G72" s="42">
        <v>30</v>
      </c>
      <c r="H72" s="42">
        <v>60</v>
      </c>
      <c r="I72" s="42"/>
      <c r="J72" s="42">
        <f t="shared" si="3"/>
        <v>-41</v>
      </c>
      <c r="K72" s="42">
        <v>4</v>
      </c>
      <c r="L72" s="42"/>
      <c r="M72" s="42"/>
      <c r="N72" s="42"/>
    </row>
    <row r="73" spans="1:14" ht="14.25" customHeight="1" x14ac:dyDescent="0.25">
      <c r="A73" s="41">
        <v>71</v>
      </c>
      <c r="B73" s="44" t="s">
        <v>276</v>
      </c>
      <c r="C73" s="44">
        <v>100</v>
      </c>
      <c r="D73" s="42">
        <v>-10</v>
      </c>
      <c r="E73" s="42">
        <f t="shared" si="2"/>
        <v>-110</v>
      </c>
      <c r="F73" s="42"/>
      <c r="G73" s="42">
        <v>30</v>
      </c>
      <c r="H73" s="42">
        <v>30</v>
      </c>
      <c r="I73" s="42">
        <v>40</v>
      </c>
      <c r="J73" s="42"/>
      <c r="K73" s="42">
        <v>0</v>
      </c>
      <c r="L73" s="42"/>
      <c r="M73" s="42"/>
      <c r="N73" s="42"/>
    </row>
    <row r="74" spans="1:14" ht="14.25" customHeight="1" x14ac:dyDescent="0.25">
      <c r="A74" s="41">
        <v>72</v>
      </c>
      <c r="B74" s="44" t="s">
        <v>277</v>
      </c>
      <c r="C74" s="44">
        <v>50</v>
      </c>
      <c r="D74" s="42">
        <v>-20</v>
      </c>
      <c r="E74" s="42">
        <f t="shared" si="2"/>
        <v>-70</v>
      </c>
      <c r="F74" s="42"/>
      <c r="G74" s="42">
        <v>50</v>
      </c>
      <c r="H74" s="42">
        <v>50</v>
      </c>
      <c r="I74" s="42"/>
      <c r="J74" s="42">
        <f t="shared" si="3"/>
        <v>-120</v>
      </c>
      <c r="K74" s="42">
        <v>20</v>
      </c>
      <c r="L74" s="42"/>
      <c r="M74" s="42"/>
      <c r="N74" s="42"/>
    </row>
    <row r="75" spans="1:14" ht="14.25" customHeight="1" x14ac:dyDescent="0.25">
      <c r="A75" s="41">
        <v>73</v>
      </c>
      <c r="B75" s="44" t="s">
        <v>278</v>
      </c>
      <c r="C75" s="44">
        <v>50</v>
      </c>
      <c r="D75" s="42">
        <v>19</v>
      </c>
      <c r="E75" s="42">
        <f t="shared" si="2"/>
        <v>-31</v>
      </c>
      <c r="F75" s="42"/>
      <c r="G75" s="42">
        <v>20</v>
      </c>
      <c r="H75" s="42">
        <v>20</v>
      </c>
      <c r="I75" s="42">
        <v>11</v>
      </c>
      <c r="J75" s="42"/>
      <c r="K75" s="42">
        <v>20</v>
      </c>
      <c r="L75" s="42"/>
      <c r="M75" s="42"/>
      <c r="N75" s="42"/>
    </row>
    <row r="76" spans="1:14" ht="14.25" customHeight="1" x14ac:dyDescent="0.25">
      <c r="A76" s="41">
        <v>74</v>
      </c>
      <c r="B76" s="44" t="s">
        <v>279</v>
      </c>
      <c r="C76" s="44">
        <v>30</v>
      </c>
      <c r="D76" s="42">
        <v>6</v>
      </c>
      <c r="E76" s="42">
        <f t="shared" si="2"/>
        <v>-24</v>
      </c>
      <c r="F76" s="42"/>
      <c r="G76" s="42">
        <v>30</v>
      </c>
      <c r="H76" s="42">
        <v>30</v>
      </c>
      <c r="I76" s="42"/>
      <c r="J76" s="42">
        <f t="shared" si="3"/>
        <v>-54</v>
      </c>
      <c r="K76" s="42">
        <v>30</v>
      </c>
      <c r="L76" s="42"/>
      <c r="M76" s="42"/>
      <c r="N76" s="42"/>
    </row>
    <row r="77" spans="1:14" ht="14.25" customHeight="1" x14ac:dyDescent="0.25">
      <c r="A77" s="41">
        <v>75</v>
      </c>
      <c r="B77" s="44" t="s">
        <v>280</v>
      </c>
      <c r="C77" s="44">
        <v>30</v>
      </c>
      <c r="D77" s="42">
        <v>17</v>
      </c>
      <c r="E77" s="42">
        <f t="shared" si="2"/>
        <v>-13</v>
      </c>
      <c r="F77" s="42"/>
      <c r="G77" s="42">
        <v>0</v>
      </c>
      <c r="H77" s="42">
        <v>0</v>
      </c>
      <c r="I77" s="42">
        <v>13</v>
      </c>
      <c r="J77" s="42"/>
      <c r="K77" s="42">
        <v>0</v>
      </c>
      <c r="L77" s="42"/>
      <c r="M77" s="42"/>
      <c r="N77" s="42"/>
    </row>
    <row r="78" spans="1:14" ht="14.25" customHeight="1" x14ac:dyDescent="0.25">
      <c r="A78" s="41">
        <v>76</v>
      </c>
      <c r="B78" s="44" t="s">
        <v>281</v>
      </c>
      <c r="C78" s="44">
        <v>20</v>
      </c>
      <c r="D78" s="42">
        <v>9</v>
      </c>
      <c r="E78" s="42">
        <f t="shared" si="2"/>
        <v>-11</v>
      </c>
      <c r="F78" s="42"/>
      <c r="G78" s="42">
        <v>0</v>
      </c>
      <c r="H78" s="42">
        <v>0</v>
      </c>
      <c r="I78" s="42">
        <v>11</v>
      </c>
      <c r="J78" s="42"/>
      <c r="K78" s="42">
        <v>30</v>
      </c>
      <c r="L78" s="42"/>
      <c r="M78" s="42"/>
      <c r="N78" s="42"/>
    </row>
    <row r="79" spans="1:14" ht="14.25" customHeight="1" x14ac:dyDescent="0.25">
      <c r="A79" s="41">
        <v>77</v>
      </c>
      <c r="B79" s="44" t="s">
        <v>282</v>
      </c>
      <c r="C79" s="44">
        <v>50</v>
      </c>
      <c r="D79" s="42">
        <v>13</v>
      </c>
      <c r="E79" s="42">
        <f t="shared" si="2"/>
        <v>-37</v>
      </c>
      <c r="F79" s="42"/>
      <c r="G79" s="42">
        <v>50</v>
      </c>
      <c r="H79" s="42">
        <v>50</v>
      </c>
      <c r="I79" s="42"/>
      <c r="J79" s="42">
        <f t="shared" si="3"/>
        <v>-87</v>
      </c>
      <c r="K79" s="42">
        <v>30</v>
      </c>
      <c r="L79" s="42"/>
      <c r="M79" s="42"/>
      <c r="N79" s="42"/>
    </row>
    <row r="80" spans="1:14" ht="14.25" customHeight="1" x14ac:dyDescent="0.25">
      <c r="A80" s="41">
        <v>78</v>
      </c>
      <c r="B80" s="44" t="s">
        <v>283</v>
      </c>
      <c r="C80" s="44">
        <v>30</v>
      </c>
      <c r="D80" s="42">
        <v>13</v>
      </c>
      <c r="E80" s="42">
        <f t="shared" si="2"/>
        <v>-17</v>
      </c>
      <c r="F80" s="42"/>
      <c r="G80" s="42">
        <v>30</v>
      </c>
      <c r="H80" s="42">
        <v>15</v>
      </c>
      <c r="I80" s="42"/>
      <c r="J80" s="42">
        <f t="shared" si="3"/>
        <v>-32</v>
      </c>
      <c r="K80" s="42">
        <v>15</v>
      </c>
      <c r="L80" s="42"/>
      <c r="M80" s="42"/>
      <c r="N80" s="42"/>
    </row>
    <row r="81" spans="1:14" ht="14.25" customHeight="1" x14ac:dyDescent="0.25">
      <c r="A81" s="41">
        <v>79</v>
      </c>
      <c r="B81" s="44" t="s">
        <v>284</v>
      </c>
      <c r="C81" s="44">
        <v>30</v>
      </c>
      <c r="D81" s="42">
        <v>3</v>
      </c>
      <c r="E81" s="42">
        <f t="shared" si="2"/>
        <v>-27</v>
      </c>
      <c r="F81" s="42"/>
      <c r="G81" s="42">
        <v>20</v>
      </c>
      <c r="H81" s="42">
        <v>20</v>
      </c>
      <c r="I81" s="42">
        <v>7</v>
      </c>
      <c r="J81" s="42"/>
      <c r="K81" s="42">
        <v>20</v>
      </c>
      <c r="L81" s="42"/>
      <c r="M81" s="42"/>
      <c r="N81" s="42"/>
    </row>
    <row r="82" spans="1:14" ht="14.25" customHeight="1" x14ac:dyDescent="0.25">
      <c r="A82" s="41">
        <v>80</v>
      </c>
      <c r="B82" s="44" t="s">
        <v>285</v>
      </c>
      <c r="C82" s="44">
        <v>20</v>
      </c>
      <c r="D82" s="42">
        <v>11</v>
      </c>
      <c r="E82" s="42">
        <f t="shared" si="2"/>
        <v>-9</v>
      </c>
      <c r="F82" s="42"/>
      <c r="G82" s="42">
        <v>20</v>
      </c>
      <c r="H82" s="42">
        <v>20</v>
      </c>
      <c r="I82" s="42"/>
      <c r="J82" s="42">
        <f t="shared" si="3"/>
        <v>-29</v>
      </c>
      <c r="K82" s="42">
        <v>20</v>
      </c>
      <c r="L82" s="42"/>
      <c r="M82" s="42"/>
      <c r="N82" s="42"/>
    </row>
    <row r="83" spans="1:14" ht="14.25" customHeight="1" x14ac:dyDescent="0.25">
      <c r="A83" s="41">
        <v>81</v>
      </c>
      <c r="B83" s="44" t="s">
        <v>292</v>
      </c>
      <c r="C83" s="44">
        <v>30</v>
      </c>
      <c r="D83" s="42">
        <v>15</v>
      </c>
      <c r="E83" s="42">
        <f t="shared" si="2"/>
        <v>-15</v>
      </c>
      <c r="F83" s="42"/>
      <c r="G83" s="42">
        <v>30</v>
      </c>
      <c r="H83" s="42">
        <v>20</v>
      </c>
      <c r="I83" s="42"/>
      <c r="J83" s="42">
        <f t="shared" si="3"/>
        <v>-35</v>
      </c>
      <c r="K83" s="42">
        <v>20</v>
      </c>
      <c r="L83" s="42"/>
      <c r="M83" s="42"/>
      <c r="N83" s="42"/>
    </row>
    <row r="84" spans="1:14" ht="14.25" customHeight="1" x14ac:dyDescent="0.25">
      <c r="A84" s="41">
        <v>82</v>
      </c>
      <c r="B84" s="44" t="s">
        <v>293</v>
      </c>
      <c r="C84" s="44">
        <v>30</v>
      </c>
      <c r="D84" s="42">
        <v>7</v>
      </c>
      <c r="E84" s="42">
        <f t="shared" si="2"/>
        <v>-23</v>
      </c>
      <c r="F84" s="42"/>
      <c r="G84" s="42">
        <v>20</v>
      </c>
      <c r="H84" s="42">
        <v>20</v>
      </c>
      <c r="I84" s="42">
        <v>3</v>
      </c>
      <c r="J84" s="42"/>
      <c r="K84" s="42">
        <v>20</v>
      </c>
      <c r="L84" s="42"/>
      <c r="M84" s="42"/>
      <c r="N84" s="42"/>
    </row>
    <row r="85" spans="1:14" ht="14.25" customHeight="1" x14ac:dyDescent="0.25">
      <c r="A85" s="41">
        <v>83</v>
      </c>
      <c r="B85" s="43" t="s">
        <v>125</v>
      </c>
      <c r="C85" s="43">
        <v>200</v>
      </c>
      <c r="D85" s="42">
        <v>22</v>
      </c>
      <c r="E85" s="42">
        <f t="shared" si="2"/>
        <v>-178</v>
      </c>
      <c r="F85" s="42"/>
      <c r="G85" s="42">
        <v>200</v>
      </c>
      <c r="H85" s="42">
        <v>200</v>
      </c>
      <c r="I85" s="42"/>
      <c r="J85" s="42">
        <f t="shared" si="3"/>
        <v>-378</v>
      </c>
      <c r="K85" s="42">
        <v>125</v>
      </c>
      <c r="L85" s="42"/>
      <c r="M85" s="42"/>
      <c r="N85" s="42"/>
    </row>
    <row r="86" spans="1:14" ht="14.25" customHeight="1" x14ac:dyDescent="0.25">
      <c r="A86" s="41">
        <v>84</v>
      </c>
      <c r="B86" s="43" t="s">
        <v>127</v>
      </c>
      <c r="C86" s="43">
        <v>50</v>
      </c>
      <c r="D86" s="42">
        <v>11</v>
      </c>
      <c r="E86" s="42">
        <f t="shared" si="2"/>
        <v>-39</v>
      </c>
      <c r="F86" s="42"/>
      <c r="G86" s="42">
        <v>50</v>
      </c>
      <c r="H86" s="42">
        <v>50</v>
      </c>
      <c r="I86" s="42"/>
      <c r="J86" s="42">
        <f t="shared" si="3"/>
        <v>-89</v>
      </c>
      <c r="K86" s="42">
        <v>5</v>
      </c>
      <c r="L86" s="42"/>
      <c r="M86" s="42"/>
      <c r="N86" s="42"/>
    </row>
    <row r="87" spans="1:14" ht="14.25" customHeight="1" x14ac:dyDescent="0.25">
      <c r="A87" s="41">
        <v>85</v>
      </c>
      <c r="B87" s="43" t="s">
        <v>121</v>
      </c>
      <c r="C87" s="42">
        <v>100</v>
      </c>
      <c r="D87" s="42">
        <v>9</v>
      </c>
      <c r="E87" s="42">
        <f t="shared" si="2"/>
        <v>-91</v>
      </c>
      <c r="F87" s="42"/>
      <c r="G87" s="42">
        <v>100</v>
      </c>
      <c r="H87" s="42">
        <v>100</v>
      </c>
      <c r="I87" s="42"/>
      <c r="J87" s="42">
        <f t="shared" si="3"/>
        <v>-191</v>
      </c>
      <c r="K87" s="42">
        <v>100</v>
      </c>
      <c r="L87" s="42"/>
      <c r="M87" s="42"/>
      <c r="N87" s="42"/>
    </row>
    <row r="88" spans="1:14" ht="14.25" customHeight="1" x14ac:dyDescent="0.25">
      <c r="A88" s="41">
        <v>86</v>
      </c>
      <c r="B88" s="43" t="s">
        <v>129</v>
      </c>
      <c r="C88" s="42">
        <v>50</v>
      </c>
      <c r="D88" s="42">
        <v>39</v>
      </c>
      <c r="E88" s="42">
        <f t="shared" si="2"/>
        <v>-11</v>
      </c>
      <c r="F88" s="42"/>
      <c r="G88" s="42">
        <v>30</v>
      </c>
      <c r="H88" s="42">
        <v>30</v>
      </c>
      <c r="I88" s="42"/>
      <c r="J88" s="42">
        <f t="shared" si="3"/>
        <v>-41</v>
      </c>
      <c r="K88" s="42">
        <v>30</v>
      </c>
      <c r="L88" s="42"/>
      <c r="M88" s="42"/>
      <c r="N88" s="42"/>
    </row>
    <row r="89" spans="1:14" ht="14.25" customHeight="1" x14ac:dyDescent="0.25">
      <c r="A89" s="41">
        <v>87</v>
      </c>
      <c r="B89" s="43" t="s">
        <v>85</v>
      </c>
      <c r="C89" s="43">
        <v>150</v>
      </c>
      <c r="D89" s="42">
        <v>43</v>
      </c>
      <c r="E89" s="42">
        <f t="shared" si="2"/>
        <v>-107</v>
      </c>
      <c r="F89" s="42"/>
      <c r="G89" s="42">
        <v>114</v>
      </c>
      <c r="H89" s="42">
        <v>114</v>
      </c>
      <c r="I89" s="42"/>
      <c r="J89" s="42">
        <f t="shared" si="3"/>
        <v>-221</v>
      </c>
      <c r="K89" s="42">
        <v>36</v>
      </c>
      <c r="L89" s="42"/>
      <c r="M89" s="42"/>
      <c r="N89" s="42"/>
    </row>
    <row r="90" spans="1:14" ht="14.25" customHeight="1" x14ac:dyDescent="0.25">
      <c r="A90" s="41">
        <v>88</v>
      </c>
      <c r="B90" s="43" t="s">
        <v>87</v>
      </c>
      <c r="C90" s="43">
        <v>100</v>
      </c>
      <c r="D90" s="42">
        <v>14</v>
      </c>
      <c r="E90" s="42">
        <f t="shared" si="2"/>
        <v>-86</v>
      </c>
      <c r="F90" s="42"/>
      <c r="G90" s="42">
        <v>98</v>
      </c>
      <c r="H90" s="42">
        <v>98</v>
      </c>
      <c r="I90" s="42"/>
      <c r="J90" s="42">
        <f t="shared" si="3"/>
        <v>-184</v>
      </c>
      <c r="K90" s="42">
        <v>33</v>
      </c>
      <c r="L90" s="42"/>
      <c r="M90" s="42"/>
      <c r="N90" s="42"/>
    </row>
    <row r="91" spans="1:14" ht="14.25" customHeight="1" x14ac:dyDescent="0.25">
      <c r="A91" s="41">
        <v>89</v>
      </c>
      <c r="B91" s="43" t="s">
        <v>89</v>
      </c>
      <c r="C91" s="43">
        <v>50</v>
      </c>
      <c r="D91" s="42">
        <v>48</v>
      </c>
      <c r="E91" s="42">
        <f t="shared" si="2"/>
        <v>-2</v>
      </c>
      <c r="F91" s="42" t="s">
        <v>519</v>
      </c>
      <c r="G91" s="42"/>
      <c r="H91" s="42">
        <v>0</v>
      </c>
      <c r="I91" s="42"/>
      <c r="J91" s="42">
        <f t="shared" si="3"/>
        <v>-2</v>
      </c>
      <c r="K91" s="42">
        <v>10</v>
      </c>
      <c r="L91" s="42"/>
      <c r="M91" s="42"/>
      <c r="N91" s="42"/>
    </row>
    <row r="92" spans="1:14" ht="14.25" customHeight="1" x14ac:dyDescent="0.25">
      <c r="A92" s="41">
        <v>90</v>
      </c>
      <c r="B92" s="43" t="s">
        <v>91</v>
      </c>
      <c r="C92" s="43">
        <v>50</v>
      </c>
      <c r="D92" s="42">
        <v>73</v>
      </c>
      <c r="E92" s="42">
        <f t="shared" si="2"/>
        <v>23</v>
      </c>
      <c r="F92" s="42" t="s">
        <v>519</v>
      </c>
      <c r="G92" s="42"/>
      <c r="H92" s="42">
        <v>0</v>
      </c>
      <c r="I92" s="42"/>
      <c r="J92" s="42">
        <f t="shared" si="3"/>
        <v>23</v>
      </c>
      <c r="K92" s="42">
        <v>20</v>
      </c>
      <c r="L92" s="42"/>
      <c r="M92" s="42"/>
      <c r="N92" s="42"/>
    </row>
    <row r="93" spans="1:14" ht="14.25" customHeight="1" x14ac:dyDescent="0.25">
      <c r="A93" s="41">
        <v>91</v>
      </c>
      <c r="B93" s="43" t="s">
        <v>105</v>
      </c>
      <c r="C93" s="43">
        <v>200</v>
      </c>
      <c r="D93" s="42">
        <v>41</v>
      </c>
      <c r="E93" s="42">
        <f t="shared" si="2"/>
        <v>-159</v>
      </c>
      <c r="F93" s="42"/>
      <c r="G93" s="42">
        <v>30</v>
      </c>
      <c r="H93" s="42">
        <v>30</v>
      </c>
      <c r="I93" s="42">
        <v>94</v>
      </c>
      <c r="J93" s="42"/>
      <c r="K93" s="42">
        <v>30</v>
      </c>
      <c r="L93" s="42"/>
      <c r="M93" s="42"/>
      <c r="N93" s="42"/>
    </row>
    <row r="94" spans="1:14" ht="14.25" customHeight="1" x14ac:dyDescent="0.25">
      <c r="A94" s="41">
        <v>92</v>
      </c>
      <c r="B94" s="43" t="s">
        <v>107</v>
      </c>
      <c r="C94" s="43">
        <v>150</v>
      </c>
      <c r="D94" s="42">
        <v>17</v>
      </c>
      <c r="E94" s="42">
        <f t="shared" si="2"/>
        <v>-133</v>
      </c>
      <c r="F94" s="42"/>
      <c r="G94" s="42">
        <v>33</v>
      </c>
      <c r="H94" s="42">
        <v>33</v>
      </c>
      <c r="I94" s="42">
        <v>73</v>
      </c>
      <c r="J94" s="42"/>
      <c r="K94" s="42">
        <v>33</v>
      </c>
      <c r="L94" s="42"/>
      <c r="M94" s="42"/>
      <c r="N94" s="42"/>
    </row>
    <row r="95" spans="1:14" ht="14.25" customHeight="1" x14ac:dyDescent="0.25">
      <c r="A95" s="41">
        <v>93</v>
      </c>
      <c r="B95" s="42" t="s">
        <v>351</v>
      </c>
      <c r="C95" s="42">
        <v>100</v>
      </c>
      <c r="D95" s="42">
        <v>27</v>
      </c>
      <c r="E95" s="42">
        <f t="shared" si="2"/>
        <v>-73</v>
      </c>
      <c r="F95" s="42"/>
      <c r="G95" s="42">
        <v>30</v>
      </c>
      <c r="H95" s="42">
        <v>0</v>
      </c>
      <c r="I95" s="42">
        <v>68</v>
      </c>
      <c r="J95" s="42"/>
      <c r="K95" s="42">
        <v>0</v>
      </c>
      <c r="L95" s="42"/>
      <c r="M95" s="42"/>
      <c r="N95" s="42"/>
    </row>
    <row r="96" spans="1:14" ht="14.25" customHeight="1" x14ac:dyDescent="0.25">
      <c r="A96" s="41">
        <v>94</v>
      </c>
      <c r="B96" s="42" t="s">
        <v>352</v>
      </c>
      <c r="C96" s="42">
        <v>30</v>
      </c>
      <c r="D96" s="42">
        <v>27</v>
      </c>
      <c r="E96" s="42">
        <f t="shared" si="2"/>
        <v>-3</v>
      </c>
      <c r="F96" s="42" t="s">
        <v>519</v>
      </c>
      <c r="G96" s="42"/>
      <c r="H96" s="42">
        <v>20</v>
      </c>
      <c r="I96" s="42"/>
      <c r="J96" s="42">
        <f t="shared" si="3"/>
        <v>-23</v>
      </c>
      <c r="K96" s="42">
        <v>0</v>
      </c>
      <c r="L96" s="42"/>
      <c r="M96" s="42"/>
      <c r="N96" s="42"/>
    </row>
    <row r="97" spans="1:14" ht="14.25" customHeight="1" x14ac:dyDescent="0.25">
      <c r="A97" s="41">
        <v>95</v>
      </c>
      <c r="B97" s="42" t="s">
        <v>512</v>
      </c>
      <c r="C97" s="42">
        <v>50</v>
      </c>
      <c r="D97" s="42">
        <v>7</v>
      </c>
      <c r="E97" s="42">
        <f t="shared" si="2"/>
        <v>-43</v>
      </c>
      <c r="F97" s="42"/>
      <c r="G97" s="42">
        <v>20</v>
      </c>
      <c r="H97" s="42">
        <v>50</v>
      </c>
      <c r="I97" s="42"/>
      <c r="J97" s="42">
        <f t="shared" si="3"/>
        <v>-93</v>
      </c>
      <c r="K97" s="42">
        <v>20</v>
      </c>
      <c r="L97" s="42"/>
      <c r="M97" s="42"/>
      <c r="N97" s="42"/>
    </row>
    <row r="98" spans="1:14" ht="14.25" customHeight="1" x14ac:dyDescent="0.25">
      <c r="A98" s="41">
        <v>96</v>
      </c>
      <c r="B98" s="42" t="s">
        <v>354</v>
      </c>
      <c r="C98" s="42">
        <v>50</v>
      </c>
      <c r="D98" s="42">
        <v>1</v>
      </c>
      <c r="E98" s="42">
        <f t="shared" si="2"/>
        <v>-49</v>
      </c>
      <c r="F98" s="42"/>
      <c r="G98" s="42">
        <v>50</v>
      </c>
      <c r="H98" s="42">
        <v>20</v>
      </c>
      <c r="I98" s="42">
        <v>29</v>
      </c>
      <c r="J98" s="42"/>
      <c r="K98" s="42">
        <v>50</v>
      </c>
      <c r="L98" s="42"/>
      <c r="M98" s="42"/>
      <c r="N98" s="42"/>
    </row>
    <row r="99" spans="1:14" ht="14.25" customHeight="1" x14ac:dyDescent="0.25">
      <c r="A99" s="41">
        <v>97</v>
      </c>
      <c r="B99" s="42" t="s">
        <v>528</v>
      </c>
      <c r="C99" s="42">
        <v>100</v>
      </c>
      <c r="D99" s="42">
        <v>15</v>
      </c>
      <c r="E99" s="42">
        <f t="shared" si="2"/>
        <v>-85</v>
      </c>
      <c r="F99" s="42"/>
      <c r="G99" s="42">
        <v>20</v>
      </c>
      <c r="H99" s="42">
        <v>20</v>
      </c>
      <c r="I99" s="42">
        <v>64</v>
      </c>
      <c r="J99" s="42"/>
      <c r="K99" s="42">
        <v>20</v>
      </c>
      <c r="L99" s="42"/>
      <c r="M99" s="42"/>
      <c r="N99" s="42"/>
    </row>
    <row r="100" spans="1:14" ht="14.25" customHeight="1" x14ac:dyDescent="0.25">
      <c r="A100" s="41">
        <v>98</v>
      </c>
      <c r="B100" s="42" t="s">
        <v>358</v>
      </c>
      <c r="C100" s="42">
        <v>50</v>
      </c>
      <c r="D100" s="42">
        <v>25</v>
      </c>
      <c r="E100" s="42">
        <f t="shared" si="2"/>
        <v>-25</v>
      </c>
      <c r="F100" s="42"/>
      <c r="G100" s="42">
        <v>20</v>
      </c>
      <c r="H100" s="42">
        <v>40</v>
      </c>
      <c r="I100" s="42"/>
      <c r="J100" s="42">
        <f t="shared" si="3"/>
        <v>-65</v>
      </c>
      <c r="K100" s="42">
        <v>20</v>
      </c>
      <c r="L100" s="42"/>
      <c r="M100" s="42"/>
      <c r="N100" s="42"/>
    </row>
    <row r="101" spans="1:14" ht="14.25" customHeight="1" x14ac:dyDescent="0.25">
      <c r="A101" s="41">
        <v>99</v>
      </c>
      <c r="B101" s="42" t="s">
        <v>359</v>
      </c>
      <c r="C101" s="42">
        <v>100</v>
      </c>
      <c r="D101" s="42">
        <v>6</v>
      </c>
      <c r="E101" s="42">
        <f t="shared" si="2"/>
        <v>-94</v>
      </c>
      <c r="F101" s="42"/>
      <c r="G101" s="42">
        <v>40</v>
      </c>
      <c r="H101" s="42">
        <v>20</v>
      </c>
      <c r="I101" s="42">
        <v>72</v>
      </c>
      <c r="J101" s="42"/>
      <c r="K101" s="42">
        <v>40</v>
      </c>
      <c r="L101" s="42"/>
      <c r="M101" s="42"/>
      <c r="N101" s="42"/>
    </row>
    <row r="102" spans="1:14" ht="14.25" customHeight="1" x14ac:dyDescent="0.25">
      <c r="A102" s="41">
        <v>100</v>
      </c>
      <c r="B102" s="42" t="s">
        <v>360</v>
      </c>
      <c r="C102" s="42">
        <v>50</v>
      </c>
      <c r="D102" s="42">
        <v>0</v>
      </c>
      <c r="E102" s="42">
        <f t="shared" si="2"/>
        <v>-50</v>
      </c>
      <c r="F102" s="42"/>
      <c r="G102" s="42">
        <v>20</v>
      </c>
      <c r="H102" s="42">
        <v>40</v>
      </c>
      <c r="I102" s="42">
        <v>10</v>
      </c>
      <c r="J102" s="42"/>
      <c r="K102" s="42">
        <v>20</v>
      </c>
      <c r="L102" s="42"/>
      <c r="M102" s="42"/>
      <c r="N102" s="42"/>
    </row>
    <row r="103" spans="1:14" ht="14.25" customHeight="1" x14ac:dyDescent="0.25">
      <c r="A103" s="41">
        <v>101</v>
      </c>
      <c r="B103" s="42" t="s">
        <v>361</v>
      </c>
      <c r="C103" s="42">
        <v>100</v>
      </c>
      <c r="D103" s="42">
        <v>14</v>
      </c>
      <c r="E103" s="42">
        <f t="shared" si="2"/>
        <v>-86</v>
      </c>
      <c r="F103" s="42"/>
      <c r="G103" s="42">
        <v>40</v>
      </c>
      <c r="H103" s="42">
        <v>20</v>
      </c>
      <c r="I103" s="42">
        <v>66</v>
      </c>
      <c r="J103" s="42"/>
      <c r="K103" s="42">
        <v>40</v>
      </c>
      <c r="L103" s="42"/>
      <c r="M103" s="42"/>
      <c r="N103" s="42"/>
    </row>
    <row r="104" spans="1:14" ht="14.25" customHeight="1" x14ac:dyDescent="0.25">
      <c r="A104" s="41">
        <v>102</v>
      </c>
      <c r="B104" s="42" t="s">
        <v>362</v>
      </c>
      <c r="C104" s="42">
        <v>50</v>
      </c>
      <c r="D104" s="42">
        <v>27</v>
      </c>
      <c r="E104" s="42">
        <f t="shared" si="2"/>
        <v>-23</v>
      </c>
      <c r="F104" s="42"/>
      <c r="G104" s="42">
        <v>20</v>
      </c>
      <c r="H104" s="42">
        <v>30</v>
      </c>
      <c r="I104" s="42"/>
      <c r="J104" s="42">
        <f t="shared" si="3"/>
        <v>-53</v>
      </c>
      <c r="K104" s="42">
        <v>20</v>
      </c>
      <c r="L104" s="42"/>
      <c r="M104" s="42"/>
      <c r="N104" s="42"/>
    </row>
    <row r="105" spans="1:14" ht="14.25" customHeight="1" x14ac:dyDescent="0.25">
      <c r="A105" s="41">
        <v>103</v>
      </c>
      <c r="B105" s="42" t="s">
        <v>489</v>
      </c>
      <c r="C105" s="42">
        <v>30</v>
      </c>
      <c r="D105" s="42">
        <v>-1</v>
      </c>
      <c r="E105" s="42">
        <f t="shared" si="2"/>
        <v>-31</v>
      </c>
      <c r="F105" s="42"/>
      <c r="G105" s="42">
        <v>30</v>
      </c>
      <c r="H105" s="42">
        <v>20</v>
      </c>
      <c r="I105" s="42">
        <v>11</v>
      </c>
      <c r="J105" s="42"/>
      <c r="K105" s="42">
        <v>30</v>
      </c>
      <c r="L105" s="42"/>
      <c r="M105" s="42"/>
      <c r="N105" s="42"/>
    </row>
    <row r="106" spans="1:14" ht="14.25" customHeight="1" x14ac:dyDescent="0.25">
      <c r="A106" s="41">
        <v>104</v>
      </c>
      <c r="B106" s="42" t="s">
        <v>490</v>
      </c>
      <c r="C106" s="42">
        <v>30</v>
      </c>
      <c r="D106" s="42">
        <v>0</v>
      </c>
      <c r="E106" s="42">
        <f t="shared" si="2"/>
        <v>-30</v>
      </c>
      <c r="F106" s="42"/>
      <c r="G106" s="42">
        <v>20</v>
      </c>
      <c r="H106" s="42">
        <v>30</v>
      </c>
      <c r="I106" s="42">
        <v>0</v>
      </c>
      <c r="J106" s="42"/>
      <c r="K106" s="42">
        <v>20</v>
      </c>
      <c r="L106" s="42"/>
      <c r="M106" s="42"/>
      <c r="N106" s="42"/>
    </row>
    <row r="107" spans="1:14" ht="14.25" customHeight="1" x14ac:dyDescent="0.25">
      <c r="A107" s="41">
        <v>105</v>
      </c>
      <c r="B107" s="42" t="s">
        <v>333</v>
      </c>
      <c r="C107" s="42">
        <v>100</v>
      </c>
      <c r="D107" s="42">
        <v>29</v>
      </c>
      <c r="E107" s="42">
        <f t="shared" si="2"/>
        <v>-71</v>
      </c>
      <c r="F107" s="42"/>
      <c r="G107" s="42">
        <v>30</v>
      </c>
      <c r="H107" s="42">
        <v>30</v>
      </c>
      <c r="I107" s="42">
        <v>41</v>
      </c>
      <c r="J107" s="42"/>
      <c r="K107" s="42">
        <v>30</v>
      </c>
      <c r="L107" s="42"/>
      <c r="M107" s="42"/>
      <c r="N107" s="42"/>
    </row>
    <row r="108" spans="1:14" ht="14.25" customHeight="1" x14ac:dyDescent="0.25">
      <c r="A108" s="41">
        <v>106</v>
      </c>
      <c r="B108" s="42" t="s">
        <v>334</v>
      </c>
      <c r="C108" s="42">
        <v>50</v>
      </c>
      <c r="D108" s="42">
        <v>53</v>
      </c>
      <c r="E108" s="42">
        <f t="shared" si="2"/>
        <v>3</v>
      </c>
      <c r="F108" s="42" t="s">
        <v>519</v>
      </c>
      <c r="G108" s="42"/>
      <c r="H108" s="42"/>
      <c r="I108" s="42"/>
      <c r="J108" s="42">
        <f t="shared" si="3"/>
        <v>3</v>
      </c>
      <c r="K108" s="42">
        <v>30</v>
      </c>
      <c r="L108" s="42"/>
      <c r="M108" s="42"/>
      <c r="N108" s="42"/>
    </row>
    <row r="109" spans="1:14" ht="14.25" customHeight="1" x14ac:dyDescent="0.25">
      <c r="A109" s="41">
        <v>107</v>
      </c>
      <c r="B109" s="42" t="s">
        <v>335</v>
      </c>
      <c r="C109" s="42">
        <v>100</v>
      </c>
      <c r="D109" s="42">
        <v>2</v>
      </c>
      <c r="E109" s="42">
        <f t="shared" si="2"/>
        <v>-98</v>
      </c>
      <c r="F109" s="42"/>
      <c r="G109" s="42">
        <v>50</v>
      </c>
      <c r="H109" s="42">
        <v>50</v>
      </c>
      <c r="I109" s="42">
        <v>48</v>
      </c>
      <c r="J109" s="42"/>
      <c r="K109" s="42">
        <v>50</v>
      </c>
      <c r="L109" s="42"/>
      <c r="M109" s="42"/>
      <c r="N109" s="42"/>
    </row>
    <row r="110" spans="1:14" ht="14.25" customHeight="1" x14ac:dyDescent="0.25">
      <c r="A110" s="41">
        <v>108</v>
      </c>
      <c r="B110" s="42" t="s">
        <v>336</v>
      </c>
      <c r="C110" s="42">
        <v>30</v>
      </c>
      <c r="D110" s="42">
        <v>5</v>
      </c>
      <c r="E110" s="42">
        <f t="shared" si="2"/>
        <v>-25</v>
      </c>
      <c r="F110" s="42"/>
      <c r="G110" s="42">
        <v>40</v>
      </c>
      <c r="H110" s="42">
        <v>40</v>
      </c>
      <c r="I110" s="42"/>
      <c r="J110" s="42">
        <f t="shared" si="3"/>
        <v>-65</v>
      </c>
      <c r="K110" s="42">
        <v>40</v>
      </c>
      <c r="L110" s="42"/>
      <c r="M110" s="42"/>
      <c r="N110" s="42"/>
    </row>
    <row r="111" spans="1:14" ht="14.25" customHeight="1" x14ac:dyDescent="0.25">
      <c r="A111" s="41">
        <v>109</v>
      </c>
      <c r="B111" s="42" t="s">
        <v>341</v>
      </c>
      <c r="C111" s="42">
        <v>100</v>
      </c>
      <c r="D111" s="42">
        <v>40</v>
      </c>
      <c r="E111" s="42">
        <f t="shared" si="2"/>
        <v>-60</v>
      </c>
      <c r="F111" s="42"/>
      <c r="G111" s="42">
        <v>20</v>
      </c>
      <c r="H111" s="42">
        <v>20</v>
      </c>
      <c r="I111" s="42">
        <v>40</v>
      </c>
      <c r="J111" s="42"/>
      <c r="K111" s="42">
        <v>20</v>
      </c>
      <c r="L111" s="42"/>
      <c r="M111" s="42"/>
      <c r="N111" s="42"/>
    </row>
    <row r="112" spans="1:14" ht="14.25" customHeight="1" x14ac:dyDescent="0.25">
      <c r="A112" s="41">
        <v>110</v>
      </c>
      <c r="B112" s="42" t="s">
        <v>342</v>
      </c>
      <c r="C112" s="42">
        <v>30</v>
      </c>
      <c r="D112" s="42">
        <v>50</v>
      </c>
      <c r="E112" s="42">
        <f t="shared" si="2"/>
        <v>20</v>
      </c>
      <c r="F112" s="42" t="s">
        <v>519</v>
      </c>
      <c r="G112" s="42"/>
      <c r="H112" s="42"/>
      <c r="I112" s="42"/>
      <c r="J112" s="42">
        <f t="shared" si="3"/>
        <v>20</v>
      </c>
      <c r="K112" s="42">
        <v>20</v>
      </c>
      <c r="L112" s="42"/>
      <c r="M112" s="42"/>
      <c r="N112" s="42"/>
    </row>
    <row r="113" spans="1:14" ht="14.25" customHeight="1" x14ac:dyDescent="0.25">
      <c r="A113" s="41">
        <v>111</v>
      </c>
      <c r="B113" s="42" t="s">
        <v>343</v>
      </c>
      <c r="C113" s="42">
        <v>100</v>
      </c>
      <c r="D113" s="42">
        <v>2</v>
      </c>
      <c r="E113" s="42">
        <f t="shared" si="2"/>
        <v>-98</v>
      </c>
      <c r="F113" s="42"/>
      <c r="G113" s="42">
        <v>50</v>
      </c>
      <c r="H113" s="42">
        <v>50</v>
      </c>
      <c r="I113" s="42">
        <v>48</v>
      </c>
      <c r="J113" s="42"/>
      <c r="K113" s="42">
        <v>50</v>
      </c>
      <c r="L113" s="42"/>
      <c r="M113" s="42"/>
      <c r="N113" s="42"/>
    </row>
    <row r="114" spans="1:14" ht="14.25" customHeight="1" x14ac:dyDescent="0.25">
      <c r="A114" s="41">
        <v>112</v>
      </c>
      <c r="B114" s="42" t="s">
        <v>344</v>
      </c>
      <c r="C114" s="42">
        <v>30</v>
      </c>
      <c r="D114" s="42">
        <v>6</v>
      </c>
      <c r="E114" s="42">
        <f t="shared" si="2"/>
        <v>-24</v>
      </c>
      <c r="F114" s="42"/>
      <c r="G114" s="42">
        <v>40</v>
      </c>
      <c r="H114" s="42">
        <v>40</v>
      </c>
      <c r="I114" s="42"/>
      <c r="J114" s="42">
        <f t="shared" si="3"/>
        <v>-64</v>
      </c>
      <c r="K114" s="42">
        <v>40</v>
      </c>
      <c r="L114" s="42"/>
      <c r="M114" s="42"/>
      <c r="N114" s="42"/>
    </row>
    <row r="115" spans="1:14" ht="14.25" customHeight="1" x14ac:dyDescent="0.25">
      <c r="A115" s="41">
        <v>113</v>
      </c>
      <c r="B115" s="42" t="s">
        <v>345</v>
      </c>
      <c r="C115" s="42">
        <v>50</v>
      </c>
      <c r="D115" s="42">
        <v>17</v>
      </c>
      <c r="E115" s="42">
        <f t="shared" si="2"/>
        <v>-33</v>
      </c>
      <c r="F115" s="42"/>
      <c r="G115" s="42">
        <v>40</v>
      </c>
      <c r="H115" s="42">
        <v>40</v>
      </c>
      <c r="I115" s="42"/>
      <c r="J115" s="42">
        <f t="shared" si="3"/>
        <v>-73</v>
      </c>
      <c r="K115" s="42">
        <v>40</v>
      </c>
      <c r="L115" s="42"/>
      <c r="M115" s="42"/>
      <c r="N115" s="42"/>
    </row>
    <row r="116" spans="1:14" ht="14.25" customHeight="1" x14ac:dyDescent="0.25">
      <c r="A116" s="41">
        <v>114</v>
      </c>
      <c r="B116" s="42" t="s">
        <v>346</v>
      </c>
      <c r="C116" s="42">
        <v>30</v>
      </c>
      <c r="D116" s="42">
        <v>23</v>
      </c>
      <c r="E116" s="42">
        <f t="shared" si="2"/>
        <v>-7</v>
      </c>
      <c r="F116" s="42"/>
      <c r="G116" s="42">
        <v>20</v>
      </c>
      <c r="H116" s="42">
        <v>20</v>
      </c>
      <c r="I116" s="42"/>
      <c r="J116" s="42">
        <f t="shared" si="3"/>
        <v>-27</v>
      </c>
      <c r="K116" s="42">
        <v>20</v>
      </c>
      <c r="L116" s="42"/>
      <c r="M116" s="42"/>
      <c r="N116" s="42"/>
    </row>
    <row r="117" spans="1:14" ht="14.25" customHeight="1" x14ac:dyDescent="0.25">
      <c r="A117" s="41">
        <v>115</v>
      </c>
      <c r="B117" s="42" t="s">
        <v>347</v>
      </c>
      <c r="C117" s="42">
        <v>100</v>
      </c>
      <c r="D117" s="42">
        <v>0</v>
      </c>
      <c r="E117" s="42">
        <f t="shared" si="2"/>
        <v>-100</v>
      </c>
      <c r="F117" s="42"/>
      <c r="G117" s="42">
        <v>40</v>
      </c>
      <c r="H117" s="42">
        <v>40</v>
      </c>
      <c r="I117" s="42">
        <v>60</v>
      </c>
      <c r="J117" s="42"/>
      <c r="K117" s="42">
        <v>40</v>
      </c>
      <c r="L117" s="42"/>
      <c r="M117" s="42"/>
      <c r="N117" s="42"/>
    </row>
    <row r="118" spans="1:14" ht="14.25" customHeight="1" x14ac:dyDescent="0.25">
      <c r="A118" s="41">
        <v>116</v>
      </c>
      <c r="B118" s="42" t="s">
        <v>348</v>
      </c>
      <c r="C118" s="42">
        <v>30</v>
      </c>
      <c r="D118" s="42">
        <v>19</v>
      </c>
      <c r="E118" s="42">
        <f t="shared" si="2"/>
        <v>-11</v>
      </c>
      <c r="F118" s="42"/>
      <c r="G118" s="42">
        <v>20</v>
      </c>
      <c r="H118" s="42">
        <v>20</v>
      </c>
      <c r="I118" s="42"/>
      <c r="J118" s="42">
        <f t="shared" si="3"/>
        <v>-31</v>
      </c>
      <c r="K118" s="42">
        <v>20</v>
      </c>
      <c r="L118" s="42"/>
      <c r="M118" s="42"/>
      <c r="N118" s="42"/>
    </row>
    <row r="119" spans="1:14" ht="14.25" customHeight="1" x14ac:dyDescent="0.25">
      <c r="A119" s="41">
        <v>117</v>
      </c>
      <c r="B119" s="42" t="s">
        <v>302</v>
      </c>
      <c r="C119" s="42">
        <v>100</v>
      </c>
      <c r="D119" s="42">
        <v>10</v>
      </c>
      <c r="E119" s="42">
        <f t="shared" si="2"/>
        <v>-90</v>
      </c>
      <c r="F119" s="42"/>
      <c r="G119" s="42">
        <v>80</v>
      </c>
      <c r="H119" s="42">
        <v>80</v>
      </c>
      <c r="I119" s="42">
        <v>4</v>
      </c>
      <c r="J119" s="42"/>
      <c r="K119" s="42">
        <v>80</v>
      </c>
      <c r="L119" s="42"/>
      <c r="M119" s="42"/>
      <c r="N119" s="42"/>
    </row>
    <row r="120" spans="1:14" ht="14.25" customHeight="1" x14ac:dyDescent="0.25">
      <c r="A120" s="41">
        <v>118</v>
      </c>
      <c r="B120" s="42" t="s">
        <v>530</v>
      </c>
      <c r="C120" s="42">
        <v>30</v>
      </c>
      <c r="D120" s="42">
        <v>24</v>
      </c>
      <c r="E120" s="42">
        <f t="shared" si="2"/>
        <v>-6</v>
      </c>
      <c r="F120" s="42"/>
      <c r="G120" s="42">
        <v>60</v>
      </c>
      <c r="H120" s="42">
        <v>60</v>
      </c>
      <c r="I120" s="42"/>
      <c r="J120" s="42">
        <f t="shared" si="3"/>
        <v>-66</v>
      </c>
      <c r="K120" s="42">
        <v>60</v>
      </c>
      <c r="L120" s="42"/>
      <c r="M120" s="42"/>
      <c r="N120" s="42"/>
    </row>
    <row r="121" spans="1:14" ht="14.25" customHeight="1" x14ac:dyDescent="0.25">
      <c r="A121" s="41">
        <v>119</v>
      </c>
      <c r="B121" s="42" t="s">
        <v>304</v>
      </c>
      <c r="C121" s="42">
        <v>150</v>
      </c>
      <c r="D121" s="42">
        <v>2</v>
      </c>
      <c r="E121" s="42">
        <f t="shared" si="2"/>
        <v>-148</v>
      </c>
      <c r="F121" s="42"/>
      <c r="G121" s="42">
        <v>250</v>
      </c>
      <c r="H121" s="42">
        <v>250</v>
      </c>
      <c r="I121" s="42"/>
      <c r="J121" s="42">
        <f t="shared" si="3"/>
        <v>-398</v>
      </c>
      <c r="K121" s="42">
        <v>250</v>
      </c>
      <c r="L121" s="42"/>
      <c r="M121" s="42"/>
      <c r="N121" s="42"/>
    </row>
    <row r="122" spans="1:14" ht="14.25" customHeight="1" x14ac:dyDescent="0.25">
      <c r="A122" s="41">
        <v>120</v>
      </c>
      <c r="B122" s="42" t="s">
        <v>531</v>
      </c>
      <c r="C122" s="42">
        <v>50</v>
      </c>
      <c r="D122" s="42">
        <v>1</v>
      </c>
      <c r="E122" s="42">
        <f t="shared" si="2"/>
        <v>-49</v>
      </c>
      <c r="F122" s="42"/>
      <c r="G122" s="42">
        <v>250</v>
      </c>
      <c r="H122" s="42">
        <v>250</v>
      </c>
      <c r="I122" s="42"/>
      <c r="J122" s="42">
        <f t="shared" si="3"/>
        <v>-299</v>
      </c>
      <c r="K122" s="42">
        <v>250</v>
      </c>
      <c r="L122" s="42"/>
      <c r="M122" s="42"/>
      <c r="N122" s="42"/>
    </row>
    <row r="123" spans="1:14" ht="14.25" customHeight="1" x14ac:dyDescent="0.25">
      <c r="A123" s="41">
        <v>121</v>
      </c>
      <c r="B123" s="42" t="s">
        <v>308</v>
      </c>
      <c r="C123" s="42">
        <v>50</v>
      </c>
      <c r="D123" s="42">
        <v>15</v>
      </c>
      <c r="E123" s="42">
        <f t="shared" si="2"/>
        <v>-35</v>
      </c>
      <c r="F123" s="42"/>
      <c r="G123" s="42">
        <v>80</v>
      </c>
      <c r="H123" s="42">
        <v>80</v>
      </c>
      <c r="I123" s="42"/>
      <c r="J123" s="42">
        <f t="shared" si="3"/>
        <v>-115</v>
      </c>
      <c r="K123" s="42">
        <v>80</v>
      </c>
      <c r="L123" s="42"/>
      <c r="M123" s="42"/>
      <c r="N123" s="42"/>
    </row>
    <row r="124" spans="1:14" ht="14.25" customHeight="1" x14ac:dyDescent="0.25">
      <c r="A124" s="41">
        <v>122</v>
      </c>
      <c r="B124" s="42" t="s">
        <v>309</v>
      </c>
      <c r="C124" s="42">
        <v>50</v>
      </c>
      <c r="D124" s="42">
        <v>7</v>
      </c>
      <c r="E124" s="42">
        <f t="shared" si="2"/>
        <v>-43</v>
      </c>
      <c r="F124" s="42"/>
      <c r="G124" s="42">
        <v>70</v>
      </c>
      <c r="H124" s="42">
        <v>70</v>
      </c>
      <c r="I124" s="42"/>
      <c r="J124" s="42">
        <f t="shared" si="3"/>
        <v>-113</v>
      </c>
      <c r="K124" s="42">
        <v>70</v>
      </c>
      <c r="L124" s="42"/>
      <c r="M124" s="42"/>
      <c r="N124" s="42"/>
    </row>
    <row r="125" spans="1:14" ht="14.25" customHeight="1" x14ac:dyDescent="0.25">
      <c r="A125" s="41">
        <v>123</v>
      </c>
      <c r="B125" s="42" t="s">
        <v>314</v>
      </c>
      <c r="C125" s="42">
        <v>100</v>
      </c>
      <c r="D125" s="42">
        <v>-9</v>
      </c>
      <c r="E125" s="42">
        <f t="shared" si="2"/>
        <v>-109</v>
      </c>
      <c r="F125" s="42"/>
      <c r="G125" s="42">
        <v>200</v>
      </c>
      <c r="H125" s="42">
        <v>250</v>
      </c>
      <c r="I125" s="42"/>
      <c r="J125" s="42">
        <f t="shared" si="3"/>
        <v>-359</v>
      </c>
      <c r="K125" s="42">
        <v>250</v>
      </c>
      <c r="L125" s="42"/>
      <c r="M125" s="42"/>
      <c r="N125" s="42"/>
    </row>
    <row r="126" spans="1:14" ht="14.25" customHeight="1" x14ac:dyDescent="0.25">
      <c r="A126" s="41">
        <v>124</v>
      </c>
      <c r="B126" s="42" t="s">
        <v>315</v>
      </c>
      <c r="C126" s="42">
        <v>50</v>
      </c>
      <c r="D126" s="42">
        <v>68</v>
      </c>
      <c r="E126" s="42">
        <f t="shared" si="2"/>
        <v>18</v>
      </c>
      <c r="F126" s="42" t="s">
        <v>519</v>
      </c>
      <c r="G126" s="42"/>
      <c r="H126" s="42"/>
      <c r="I126" s="42"/>
      <c r="J126" s="42">
        <f t="shared" si="3"/>
        <v>18</v>
      </c>
      <c r="K126" s="42">
        <v>110</v>
      </c>
      <c r="L126" s="42"/>
      <c r="M126" s="42"/>
      <c r="N126" s="42"/>
    </row>
    <row r="127" spans="1:14" ht="14.25" customHeight="1" x14ac:dyDescent="0.25">
      <c r="A127" s="41">
        <v>125</v>
      </c>
      <c r="B127" s="42" t="s">
        <v>318</v>
      </c>
      <c r="C127" s="42">
        <v>100</v>
      </c>
      <c r="D127" s="42">
        <v>-6</v>
      </c>
      <c r="E127" s="42">
        <f t="shared" si="2"/>
        <v>-106</v>
      </c>
      <c r="F127" s="42"/>
      <c r="G127" s="42">
        <v>50</v>
      </c>
      <c r="H127" s="42">
        <v>160</v>
      </c>
      <c r="I127" s="42"/>
      <c r="J127" s="42">
        <f t="shared" si="3"/>
        <v>-266</v>
      </c>
      <c r="K127" s="42">
        <v>110</v>
      </c>
      <c r="L127" s="42"/>
      <c r="M127" s="42"/>
      <c r="N127" s="42"/>
    </row>
    <row r="128" spans="1:14" ht="14.25" customHeight="1" x14ac:dyDescent="0.25">
      <c r="A128" s="41">
        <v>126</v>
      </c>
      <c r="B128" s="42" t="s">
        <v>319</v>
      </c>
      <c r="C128" s="42">
        <v>100</v>
      </c>
      <c r="D128" s="42">
        <v>18</v>
      </c>
      <c r="E128" s="42">
        <f t="shared" si="2"/>
        <v>-82</v>
      </c>
      <c r="F128" s="42"/>
      <c r="G128" s="42">
        <v>70</v>
      </c>
      <c r="H128" s="42">
        <v>70</v>
      </c>
      <c r="I128" s="42">
        <v>12</v>
      </c>
      <c r="J128" s="42"/>
      <c r="K128" s="42">
        <v>50</v>
      </c>
      <c r="L128" s="42"/>
      <c r="M128" s="42"/>
      <c r="N128" s="42"/>
    </row>
    <row r="129" spans="1:14" ht="14.25" customHeight="1" x14ac:dyDescent="0.25">
      <c r="A129" s="41">
        <v>127</v>
      </c>
      <c r="B129" s="42" t="s">
        <v>322</v>
      </c>
      <c r="C129" s="42">
        <v>100</v>
      </c>
      <c r="D129" s="42">
        <v>21</v>
      </c>
      <c r="E129" s="42">
        <f t="shared" si="2"/>
        <v>-79</v>
      </c>
      <c r="F129" s="42"/>
      <c r="G129" s="42">
        <v>40</v>
      </c>
      <c r="H129" s="42">
        <v>20</v>
      </c>
      <c r="I129" s="42">
        <v>59</v>
      </c>
      <c r="J129" s="42"/>
      <c r="K129" s="42">
        <v>20</v>
      </c>
      <c r="L129" s="42"/>
      <c r="M129" s="42"/>
      <c r="N129" s="42"/>
    </row>
    <row r="130" spans="1:14" ht="14.25" customHeight="1" x14ac:dyDescent="0.25">
      <c r="A130" s="41">
        <v>128</v>
      </c>
      <c r="B130" s="42" t="s">
        <v>323</v>
      </c>
      <c r="C130" s="42">
        <v>50</v>
      </c>
      <c r="D130" s="42">
        <v>22</v>
      </c>
      <c r="E130" s="42">
        <f t="shared" si="2"/>
        <v>-28</v>
      </c>
      <c r="F130" s="42"/>
      <c r="G130" s="42">
        <v>20</v>
      </c>
      <c r="H130" s="42">
        <v>20</v>
      </c>
      <c r="I130" s="42">
        <v>8</v>
      </c>
      <c r="J130" s="42"/>
      <c r="K130" s="42">
        <v>20</v>
      </c>
      <c r="L130" s="42"/>
      <c r="M130" s="42"/>
      <c r="N130" s="42"/>
    </row>
    <row r="131" spans="1:14" ht="14.25" customHeight="1" x14ac:dyDescent="0.25">
      <c r="A131" s="41">
        <v>129</v>
      </c>
      <c r="B131" s="43" t="s">
        <v>529</v>
      </c>
      <c r="C131" s="43">
        <v>150</v>
      </c>
      <c r="D131" s="42">
        <v>8</v>
      </c>
      <c r="E131" s="42">
        <f t="shared" si="2"/>
        <v>-142</v>
      </c>
      <c r="F131" s="42"/>
      <c r="G131" s="42">
        <v>100</v>
      </c>
      <c r="H131" s="42">
        <v>100</v>
      </c>
      <c r="I131" s="42">
        <v>32</v>
      </c>
      <c r="J131" s="42"/>
      <c r="K131" s="42"/>
      <c r="L131" s="42">
        <v>100</v>
      </c>
      <c r="M131" s="42"/>
      <c r="N131" s="42"/>
    </row>
    <row r="132" spans="1:14" ht="14.25" customHeight="1" x14ac:dyDescent="0.25">
      <c r="A132" s="41">
        <v>130</v>
      </c>
      <c r="B132" s="43" t="s">
        <v>261</v>
      </c>
      <c r="C132" s="43">
        <v>150</v>
      </c>
      <c r="D132" s="42">
        <v>81</v>
      </c>
      <c r="E132" s="42">
        <f t="shared" ref="E132:E160" si="4">D132-C132</f>
        <v>-69</v>
      </c>
      <c r="F132" s="42"/>
      <c r="G132" s="42">
        <v>100</v>
      </c>
      <c r="H132" s="42">
        <v>100</v>
      </c>
      <c r="I132" s="42"/>
      <c r="J132" s="42">
        <f t="shared" ref="J132:J154" si="5">E132-H132</f>
        <v>-169</v>
      </c>
      <c r="K132" s="42"/>
      <c r="L132" s="42">
        <v>100</v>
      </c>
      <c r="M132" s="42"/>
      <c r="N132" s="42"/>
    </row>
    <row r="133" spans="1:14" ht="14.25" customHeight="1" x14ac:dyDescent="0.25">
      <c r="A133" s="41">
        <v>131</v>
      </c>
      <c r="B133" s="43" t="s">
        <v>267</v>
      </c>
      <c r="C133" s="43">
        <v>350</v>
      </c>
      <c r="D133" s="42">
        <v>16</v>
      </c>
      <c r="E133" s="42">
        <f t="shared" si="4"/>
        <v>-334</v>
      </c>
      <c r="F133" s="42"/>
      <c r="G133" s="42">
        <v>50</v>
      </c>
      <c r="H133" s="42">
        <v>50</v>
      </c>
      <c r="I133" s="42">
        <v>283</v>
      </c>
      <c r="J133" s="42"/>
      <c r="K133" s="42"/>
      <c r="L133" s="42">
        <v>50</v>
      </c>
      <c r="M133" s="42"/>
      <c r="N133" s="42"/>
    </row>
    <row r="134" spans="1:14" ht="14.25" customHeight="1" x14ac:dyDescent="0.25">
      <c r="A134" s="41">
        <v>132</v>
      </c>
      <c r="B134" s="43" t="s">
        <v>492</v>
      </c>
      <c r="C134" s="43">
        <v>100</v>
      </c>
      <c r="D134" s="42">
        <v>35</v>
      </c>
      <c r="E134" s="42">
        <f t="shared" si="4"/>
        <v>-65</v>
      </c>
      <c r="F134" s="42"/>
      <c r="G134" s="42">
        <v>50</v>
      </c>
      <c r="H134" s="42">
        <v>50</v>
      </c>
      <c r="I134" s="42">
        <v>15</v>
      </c>
      <c r="J134" s="42"/>
      <c r="K134" s="42"/>
      <c r="L134" s="42">
        <v>50</v>
      </c>
      <c r="M134" s="42"/>
      <c r="N134" s="42"/>
    </row>
    <row r="135" spans="1:14" ht="14.25" customHeight="1" x14ac:dyDescent="0.25">
      <c r="A135" s="41">
        <v>133</v>
      </c>
      <c r="B135" s="43" t="s">
        <v>491</v>
      </c>
      <c r="C135" s="43">
        <v>100</v>
      </c>
      <c r="D135" s="42">
        <v>5</v>
      </c>
      <c r="E135" s="42">
        <f t="shared" si="4"/>
        <v>-95</v>
      </c>
      <c r="F135" s="42"/>
      <c r="G135" s="42">
        <v>50</v>
      </c>
      <c r="H135" s="42">
        <v>50</v>
      </c>
      <c r="I135" s="42">
        <v>55</v>
      </c>
      <c r="J135" s="42"/>
      <c r="K135" s="42"/>
      <c r="L135" s="42">
        <v>50</v>
      </c>
      <c r="M135" s="42"/>
      <c r="N135" s="42"/>
    </row>
    <row r="136" spans="1:14" ht="14.25" customHeight="1" x14ac:dyDescent="0.25">
      <c r="A136" s="41">
        <v>134</v>
      </c>
      <c r="B136" s="43" t="s">
        <v>268</v>
      </c>
      <c r="C136" s="43">
        <v>50</v>
      </c>
      <c r="D136" s="42">
        <v>92</v>
      </c>
      <c r="E136" s="42">
        <f t="shared" si="4"/>
        <v>42</v>
      </c>
      <c r="F136" s="42"/>
      <c r="G136" s="42">
        <v>100</v>
      </c>
      <c r="H136" s="42">
        <v>50</v>
      </c>
      <c r="I136" s="42">
        <v>1</v>
      </c>
      <c r="J136" s="42"/>
      <c r="K136" s="42"/>
      <c r="L136" s="42">
        <v>50</v>
      </c>
      <c r="M136" s="42"/>
      <c r="N136" s="42"/>
    </row>
    <row r="137" spans="1:14" ht="14.25" customHeight="1" x14ac:dyDescent="0.25">
      <c r="A137" s="41">
        <v>135</v>
      </c>
      <c r="B137" s="43" t="s">
        <v>270</v>
      </c>
      <c r="C137" s="43">
        <v>50</v>
      </c>
      <c r="D137" s="42">
        <v>106</v>
      </c>
      <c r="E137" s="42">
        <f t="shared" si="4"/>
        <v>56</v>
      </c>
      <c r="F137" s="42"/>
      <c r="G137" s="42">
        <v>50</v>
      </c>
      <c r="H137" s="42">
        <v>0</v>
      </c>
      <c r="I137" s="42">
        <v>49</v>
      </c>
      <c r="J137" s="42"/>
      <c r="K137" s="42">
        <v>0</v>
      </c>
      <c r="L137" s="42"/>
      <c r="M137" s="42"/>
      <c r="N137" s="42"/>
    </row>
    <row r="138" spans="1:14" ht="14.25" customHeight="1" x14ac:dyDescent="0.25">
      <c r="A138" s="41">
        <v>136</v>
      </c>
      <c r="B138" s="43" t="s">
        <v>273</v>
      </c>
      <c r="C138" s="43">
        <v>100</v>
      </c>
      <c r="D138" s="42">
        <v>83</v>
      </c>
      <c r="E138" s="42">
        <f t="shared" si="4"/>
        <v>-17</v>
      </c>
      <c r="F138" s="42"/>
      <c r="G138" s="42">
        <v>50</v>
      </c>
      <c r="H138" s="42">
        <v>0</v>
      </c>
      <c r="I138" s="42">
        <v>91</v>
      </c>
      <c r="J138" s="42"/>
      <c r="K138" s="42">
        <v>21</v>
      </c>
      <c r="L138" s="42"/>
      <c r="M138" s="42"/>
      <c r="N138" s="42"/>
    </row>
    <row r="139" spans="1:14" ht="14.25" customHeight="1" x14ac:dyDescent="0.25">
      <c r="A139" s="41">
        <v>137</v>
      </c>
      <c r="B139" s="43" t="s">
        <v>271</v>
      </c>
      <c r="C139" s="43">
        <v>50</v>
      </c>
      <c r="D139" s="42">
        <v>31</v>
      </c>
      <c r="E139" s="42">
        <f t="shared" si="4"/>
        <v>-19</v>
      </c>
      <c r="F139" s="42"/>
      <c r="G139" s="42">
        <v>20</v>
      </c>
      <c r="H139" s="42">
        <v>0</v>
      </c>
      <c r="I139" s="42">
        <v>8</v>
      </c>
      <c r="J139" s="42"/>
      <c r="K139" s="42">
        <v>10</v>
      </c>
      <c r="L139" s="42"/>
      <c r="M139" s="42"/>
      <c r="N139" s="42"/>
    </row>
    <row r="140" spans="1:14" ht="14.25" customHeight="1" x14ac:dyDescent="0.25">
      <c r="A140" s="41">
        <v>138</v>
      </c>
      <c r="B140" s="43" t="s">
        <v>274</v>
      </c>
      <c r="C140" s="43">
        <v>50</v>
      </c>
      <c r="D140" s="42">
        <v>23</v>
      </c>
      <c r="E140" s="42">
        <f t="shared" si="4"/>
        <v>-27</v>
      </c>
      <c r="F140" s="42"/>
      <c r="G140" s="42">
        <v>20</v>
      </c>
      <c r="H140" s="42">
        <v>0</v>
      </c>
      <c r="I140" s="42">
        <v>23</v>
      </c>
      <c r="J140" s="42"/>
      <c r="K140" s="42">
        <v>20</v>
      </c>
      <c r="L140" s="42"/>
      <c r="M140" s="42"/>
      <c r="N140" s="42"/>
    </row>
    <row r="141" spans="1:14" ht="14.25" customHeight="1" x14ac:dyDescent="0.25">
      <c r="A141" s="41">
        <v>139</v>
      </c>
      <c r="B141" s="43" t="s">
        <v>238</v>
      </c>
      <c r="C141" s="43">
        <v>150</v>
      </c>
      <c r="D141" s="42">
        <v>-1</v>
      </c>
      <c r="E141" s="42">
        <f t="shared" si="4"/>
        <v>-151</v>
      </c>
      <c r="F141" s="42"/>
      <c r="G141" s="42">
        <v>0</v>
      </c>
      <c r="H141" s="42">
        <v>0</v>
      </c>
      <c r="I141" s="42">
        <v>131</v>
      </c>
      <c r="J141" s="42"/>
      <c r="K141" s="42">
        <v>0</v>
      </c>
      <c r="L141" s="42"/>
      <c r="M141" s="42"/>
      <c r="N141" s="42"/>
    </row>
    <row r="142" spans="1:14" ht="14.25" customHeight="1" x14ac:dyDescent="0.25">
      <c r="A142" s="41">
        <v>140</v>
      </c>
      <c r="B142" s="43" t="s">
        <v>239</v>
      </c>
      <c r="C142" s="43">
        <v>50</v>
      </c>
      <c r="D142" s="42">
        <v>26</v>
      </c>
      <c r="E142" s="42">
        <f t="shared" si="4"/>
        <v>-24</v>
      </c>
      <c r="F142" s="42"/>
      <c r="G142" s="42">
        <v>0</v>
      </c>
      <c r="H142" s="42">
        <v>0</v>
      </c>
      <c r="I142" s="42">
        <v>24</v>
      </c>
      <c r="J142" s="42"/>
      <c r="K142" s="42">
        <v>0</v>
      </c>
      <c r="L142" s="42"/>
      <c r="M142" s="42"/>
      <c r="N142" s="42"/>
    </row>
    <row r="143" spans="1:14" ht="14.25" customHeight="1" x14ac:dyDescent="0.25">
      <c r="A143" s="41">
        <v>141</v>
      </c>
      <c r="B143" s="43" t="s">
        <v>242</v>
      </c>
      <c r="C143" s="43">
        <v>200</v>
      </c>
      <c r="D143" s="42">
        <v>17</v>
      </c>
      <c r="E143" s="42">
        <f t="shared" si="4"/>
        <v>-183</v>
      </c>
      <c r="F143" s="42"/>
      <c r="G143" s="42">
        <v>0</v>
      </c>
      <c r="H143" s="42">
        <v>0</v>
      </c>
      <c r="I143" s="42">
        <v>224</v>
      </c>
      <c r="J143" s="42"/>
      <c r="K143" s="42">
        <v>0</v>
      </c>
      <c r="L143" s="42"/>
      <c r="M143" s="42"/>
      <c r="N143" s="42"/>
    </row>
    <row r="144" spans="1:14" ht="14.25" customHeight="1" x14ac:dyDescent="0.25">
      <c r="A144" s="41">
        <v>142</v>
      </c>
      <c r="B144" s="43" t="s">
        <v>243</v>
      </c>
      <c r="C144" s="43">
        <v>50</v>
      </c>
      <c r="D144" s="42">
        <v>27</v>
      </c>
      <c r="E144" s="42">
        <f t="shared" si="4"/>
        <v>-23</v>
      </c>
      <c r="F144" s="42"/>
      <c r="G144" s="42">
        <v>0</v>
      </c>
      <c r="H144" s="42">
        <v>0</v>
      </c>
      <c r="I144" s="42">
        <v>23</v>
      </c>
      <c r="J144" s="42"/>
      <c r="K144" s="42">
        <v>0</v>
      </c>
      <c r="L144" s="42"/>
      <c r="M144" s="42"/>
      <c r="N144" s="42"/>
    </row>
    <row r="145" spans="1:14" ht="14.25" customHeight="1" x14ac:dyDescent="0.25">
      <c r="A145" s="41">
        <v>143</v>
      </c>
      <c r="B145" s="43" t="s">
        <v>248</v>
      </c>
      <c r="C145" s="43">
        <v>100</v>
      </c>
      <c r="D145" s="42">
        <v>29</v>
      </c>
      <c r="E145" s="42">
        <f t="shared" si="4"/>
        <v>-71</v>
      </c>
      <c r="F145" s="42"/>
      <c r="G145" s="42">
        <v>0</v>
      </c>
      <c r="H145" s="42">
        <v>0</v>
      </c>
      <c r="I145" s="42">
        <v>96</v>
      </c>
      <c r="J145" s="42"/>
      <c r="K145" s="42">
        <v>0</v>
      </c>
      <c r="L145" s="42"/>
      <c r="M145" s="42"/>
      <c r="N145" s="42"/>
    </row>
    <row r="146" spans="1:14" ht="14.25" customHeight="1" x14ac:dyDescent="0.25">
      <c r="A146" s="41">
        <v>144</v>
      </c>
      <c r="B146" s="43" t="s">
        <v>249</v>
      </c>
      <c r="C146" s="43">
        <v>50</v>
      </c>
      <c r="D146" s="42">
        <v>18</v>
      </c>
      <c r="E146" s="42">
        <f t="shared" si="4"/>
        <v>-32</v>
      </c>
      <c r="F146" s="42"/>
      <c r="G146" s="42">
        <v>0</v>
      </c>
      <c r="H146" s="42">
        <v>0</v>
      </c>
      <c r="I146" s="42">
        <v>32</v>
      </c>
      <c r="J146" s="42"/>
      <c r="K146" s="42">
        <v>0</v>
      </c>
      <c r="L146" s="42"/>
      <c r="M146" s="42"/>
      <c r="N146" s="42"/>
    </row>
    <row r="147" spans="1:14" ht="14.25" customHeight="1" x14ac:dyDescent="0.25">
      <c r="A147" s="41">
        <v>145</v>
      </c>
      <c r="B147" s="43" t="s">
        <v>174</v>
      </c>
      <c r="C147" s="43">
        <v>50</v>
      </c>
      <c r="D147" s="42">
        <v>70</v>
      </c>
      <c r="E147" s="42">
        <f t="shared" si="4"/>
        <v>20</v>
      </c>
      <c r="F147" s="42" t="s">
        <v>519</v>
      </c>
      <c r="G147" s="42"/>
      <c r="H147" s="42"/>
      <c r="I147" s="42"/>
      <c r="J147" s="42">
        <f t="shared" si="5"/>
        <v>20</v>
      </c>
      <c r="K147" s="42"/>
      <c r="L147" s="42">
        <v>0</v>
      </c>
      <c r="M147" s="42"/>
      <c r="N147" s="42"/>
    </row>
    <row r="148" spans="1:14" ht="14.25" customHeight="1" x14ac:dyDescent="0.25">
      <c r="A148" s="41">
        <v>146</v>
      </c>
      <c r="B148" s="43" t="s">
        <v>176</v>
      </c>
      <c r="C148" s="43">
        <v>50</v>
      </c>
      <c r="D148" s="42">
        <v>69</v>
      </c>
      <c r="E148" s="42">
        <f t="shared" si="4"/>
        <v>19</v>
      </c>
      <c r="F148" s="42" t="s">
        <v>519</v>
      </c>
      <c r="G148" s="42"/>
      <c r="H148" s="42"/>
      <c r="I148" s="42"/>
      <c r="J148" s="42">
        <f t="shared" si="5"/>
        <v>19</v>
      </c>
      <c r="K148" s="42"/>
      <c r="L148" s="42">
        <v>0</v>
      </c>
      <c r="M148" s="42"/>
      <c r="N148" s="42"/>
    </row>
    <row r="149" spans="1:14" ht="14.25" customHeight="1" x14ac:dyDescent="0.25">
      <c r="A149" s="41">
        <v>147</v>
      </c>
      <c r="B149" s="43" t="s">
        <v>186</v>
      </c>
      <c r="C149" s="43">
        <v>100</v>
      </c>
      <c r="D149" s="42">
        <v>86</v>
      </c>
      <c r="E149" s="42">
        <f t="shared" si="4"/>
        <v>-14</v>
      </c>
      <c r="F149" s="42"/>
      <c r="G149" s="42">
        <v>0</v>
      </c>
      <c r="H149" s="42">
        <v>0</v>
      </c>
      <c r="I149" s="42">
        <v>14</v>
      </c>
      <c r="J149" s="42"/>
      <c r="K149" s="42"/>
      <c r="L149" s="42">
        <v>0</v>
      </c>
      <c r="M149" s="42"/>
      <c r="N149" s="42"/>
    </row>
    <row r="150" spans="1:14" ht="14.25" customHeight="1" x14ac:dyDescent="0.25">
      <c r="A150" s="41">
        <v>148</v>
      </c>
      <c r="B150" s="43" t="s">
        <v>188</v>
      </c>
      <c r="C150" s="43">
        <v>50</v>
      </c>
      <c r="D150" s="42">
        <v>41</v>
      </c>
      <c r="E150" s="42">
        <f t="shared" si="4"/>
        <v>-9</v>
      </c>
      <c r="F150" s="42"/>
      <c r="G150" s="42">
        <v>0</v>
      </c>
      <c r="H150" s="42">
        <v>0</v>
      </c>
      <c r="I150" s="42">
        <v>9</v>
      </c>
      <c r="J150" s="42"/>
      <c r="K150" s="42"/>
      <c r="L150" s="42">
        <v>0</v>
      </c>
      <c r="M150" s="42"/>
      <c r="N150" s="42"/>
    </row>
    <row r="151" spans="1:14" ht="14.25" customHeight="1" x14ac:dyDescent="0.25">
      <c r="A151" s="41">
        <v>149</v>
      </c>
      <c r="B151" s="43" t="s">
        <v>90</v>
      </c>
      <c r="C151" s="43">
        <v>100</v>
      </c>
      <c r="D151" s="42">
        <v>59</v>
      </c>
      <c r="E151" s="42">
        <f t="shared" si="4"/>
        <v>-41</v>
      </c>
      <c r="F151" s="42"/>
      <c r="G151" s="42">
        <v>30</v>
      </c>
      <c r="H151" s="42">
        <v>30</v>
      </c>
      <c r="I151" s="42">
        <v>70</v>
      </c>
      <c r="J151" s="42"/>
      <c r="K151" s="42"/>
      <c r="L151" s="42">
        <v>30</v>
      </c>
      <c r="M151" s="42"/>
      <c r="N151" s="42"/>
    </row>
    <row r="152" spans="1:14" ht="14.25" customHeight="1" x14ac:dyDescent="0.25">
      <c r="A152" s="41">
        <v>150</v>
      </c>
      <c r="B152" s="43" t="s">
        <v>92</v>
      </c>
      <c r="C152" s="43">
        <v>50</v>
      </c>
      <c r="D152" s="42">
        <v>11</v>
      </c>
      <c r="E152" s="42">
        <f t="shared" si="4"/>
        <v>-39</v>
      </c>
      <c r="F152" s="42"/>
      <c r="G152" s="42">
        <v>0</v>
      </c>
      <c r="H152" s="42">
        <v>0</v>
      </c>
      <c r="I152" s="42">
        <v>29</v>
      </c>
      <c r="J152" s="42"/>
      <c r="K152" s="42"/>
      <c r="L152" s="42">
        <v>0</v>
      </c>
      <c r="M152" s="42"/>
      <c r="N152" s="42"/>
    </row>
    <row r="153" spans="1:14" ht="14.25" customHeight="1" x14ac:dyDescent="0.25">
      <c r="A153" s="41">
        <v>151</v>
      </c>
      <c r="B153" s="43" t="s">
        <v>102</v>
      </c>
      <c r="C153" s="43">
        <v>30</v>
      </c>
      <c r="D153" s="42">
        <v>-1</v>
      </c>
      <c r="E153" s="42">
        <f t="shared" si="4"/>
        <v>-31</v>
      </c>
      <c r="F153" s="42"/>
      <c r="G153" s="42">
        <v>30</v>
      </c>
      <c r="H153" s="42">
        <v>30</v>
      </c>
      <c r="I153" s="42">
        <v>1</v>
      </c>
      <c r="J153" s="42"/>
      <c r="K153" s="42"/>
      <c r="L153" s="42">
        <v>30</v>
      </c>
      <c r="M153" s="42"/>
      <c r="N153" s="42"/>
    </row>
    <row r="154" spans="1:14" ht="14.25" customHeight="1" x14ac:dyDescent="0.25">
      <c r="A154" s="41">
        <v>152</v>
      </c>
      <c r="B154" s="43" t="s">
        <v>104</v>
      </c>
      <c r="C154" s="43">
        <v>30</v>
      </c>
      <c r="D154" s="42">
        <v>1</v>
      </c>
      <c r="E154" s="42">
        <f t="shared" si="4"/>
        <v>-29</v>
      </c>
      <c r="F154" s="42"/>
      <c r="G154" s="42">
        <v>30</v>
      </c>
      <c r="H154" s="42">
        <v>30</v>
      </c>
      <c r="I154" s="42"/>
      <c r="J154" s="42">
        <f t="shared" si="5"/>
        <v>-59</v>
      </c>
      <c r="K154" s="42"/>
      <c r="L154" s="42">
        <v>30</v>
      </c>
      <c r="M154" s="42"/>
      <c r="N154" s="42"/>
    </row>
    <row r="155" spans="1:14" ht="14.25" customHeight="1" x14ac:dyDescent="0.25">
      <c r="A155" s="41">
        <v>153</v>
      </c>
      <c r="B155" s="43" t="s">
        <v>114</v>
      </c>
      <c r="C155" s="43">
        <v>100</v>
      </c>
      <c r="D155" s="42">
        <v>2</v>
      </c>
      <c r="E155" s="42">
        <f t="shared" si="4"/>
        <v>-98</v>
      </c>
      <c r="F155" s="42"/>
      <c r="G155" s="42">
        <v>30</v>
      </c>
      <c r="H155" s="42">
        <v>30</v>
      </c>
      <c r="I155" s="42">
        <v>67</v>
      </c>
      <c r="J155" s="42"/>
      <c r="K155" s="42"/>
      <c r="L155" s="42">
        <v>30</v>
      </c>
      <c r="M155" s="42"/>
      <c r="N155" s="42"/>
    </row>
    <row r="156" spans="1:14" ht="14.25" customHeight="1" x14ac:dyDescent="0.25">
      <c r="A156" s="41">
        <v>154</v>
      </c>
      <c r="B156" s="43" t="s">
        <v>116</v>
      </c>
      <c r="C156" s="43">
        <v>50</v>
      </c>
      <c r="D156" s="42">
        <v>1</v>
      </c>
      <c r="E156" s="42">
        <f t="shared" si="4"/>
        <v>-49</v>
      </c>
      <c r="F156" s="42"/>
      <c r="G156" s="42">
        <v>30</v>
      </c>
      <c r="H156" s="42">
        <v>30</v>
      </c>
      <c r="I156" s="42">
        <v>19</v>
      </c>
      <c r="J156" s="42"/>
      <c r="K156" s="42"/>
      <c r="L156" s="42">
        <v>30</v>
      </c>
      <c r="M156" s="42"/>
      <c r="N156" s="42"/>
    </row>
    <row r="157" spans="1:14" ht="14.25" customHeight="1" x14ac:dyDescent="0.25">
      <c r="A157" s="41">
        <v>155</v>
      </c>
      <c r="B157" s="43" t="s">
        <v>70</v>
      </c>
      <c r="C157" s="43">
        <v>150</v>
      </c>
      <c r="D157" s="42">
        <v>4</v>
      </c>
      <c r="E157" s="42">
        <f t="shared" si="4"/>
        <v>-146</v>
      </c>
      <c r="F157" s="42"/>
      <c r="G157" s="42">
        <v>50</v>
      </c>
      <c r="H157" s="42">
        <v>50</v>
      </c>
      <c r="I157" s="42">
        <v>96</v>
      </c>
      <c r="J157" s="42"/>
      <c r="K157" s="42"/>
      <c r="L157" s="42">
        <v>50</v>
      </c>
      <c r="M157" s="42"/>
      <c r="N157" s="42"/>
    </row>
    <row r="158" spans="1:14" ht="14.25" customHeight="1" x14ac:dyDescent="0.25">
      <c r="A158" s="41">
        <v>156</v>
      </c>
      <c r="B158" s="43" t="s">
        <v>72</v>
      </c>
      <c r="C158" s="43">
        <v>50</v>
      </c>
      <c r="D158" s="42">
        <v>50</v>
      </c>
      <c r="E158" s="42">
        <f t="shared" si="4"/>
        <v>0</v>
      </c>
      <c r="F158" s="42"/>
      <c r="G158" s="42"/>
      <c r="H158" s="42"/>
      <c r="I158" s="42"/>
      <c r="J158" s="42"/>
      <c r="K158" s="42"/>
      <c r="L158" s="42">
        <v>0</v>
      </c>
      <c r="M158" s="42"/>
      <c r="N158" s="42"/>
    </row>
    <row r="159" spans="1:14" ht="14.25" customHeight="1" x14ac:dyDescent="0.25">
      <c r="A159" s="41">
        <v>157</v>
      </c>
      <c r="B159" s="43" t="s">
        <v>74</v>
      </c>
      <c r="C159" s="43">
        <v>50</v>
      </c>
      <c r="D159" s="42">
        <v>24</v>
      </c>
      <c r="E159" s="42">
        <f t="shared" si="4"/>
        <v>-26</v>
      </c>
      <c r="F159" s="42"/>
      <c r="G159" s="42">
        <v>50</v>
      </c>
      <c r="H159" s="42">
        <v>50</v>
      </c>
      <c r="I159" s="42">
        <v>16</v>
      </c>
      <c r="J159" s="42"/>
      <c r="K159" s="42"/>
      <c r="L159" s="42">
        <v>50</v>
      </c>
      <c r="M159" s="42"/>
      <c r="N159" s="42"/>
    </row>
    <row r="160" spans="1:14" ht="14.25" customHeight="1" x14ac:dyDescent="0.25">
      <c r="A160" s="41">
        <v>158</v>
      </c>
      <c r="B160" s="43" t="s">
        <v>76</v>
      </c>
      <c r="C160" s="43">
        <v>50</v>
      </c>
      <c r="D160" s="42">
        <v>0</v>
      </c>
      <c r="E160" s="42">
        <f t="shared" si="4"/>
        <v>-50</v>
      </c>
      <c r="F160" s="42"/>
      <c r="G160" s="42">
        <v>50</v>
      </c>
      <c r="H160" s="42">
        <v>50</v>
      </c>
      <c r="I160" s="42"/>
      <c r="J160" s="42"/>
      <c r="K160" s="42"/>
      <c r="L160" s="42">
        <v>50</v>
      </c>
      <c r="M160" s="42"/>
      <c r="N160" s="42"/>
    </row>
    <row r="163" spans="2:3" ht="14.25" customHeight="1" x14ac:dyDescent="0.25">
      <c r="B163" s="45"/>
      <c r="C163" s="45"/>
    </row>
    <row r="164" spans="2:3" ht="14.25" customHeight="1" x14ac:dyDescent="0.25">
      <c r="B164" s="45"/>
      <c r="C164" s="45"/>
    </row>
  </sheetData>
  <mergeCells count="1">
    <mergeCell ref="A1:N1"/>
  </mergeCells>
  <pageMargins left="0.17" right="0.17" top="0.17" bottom="0.17" header="0.17" footer="0.17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1A81-4317-42A9-8282-F658201A9AD8}">
  <dimension ref="A1:K195"/>
  <sheetViews>
    <sheetView workbookViewId="0">
      <selection activeCell="D6" sqref="D6:D7"/>
    </sheetView>
  </sheetViews>
  <sheetFormatPr defaultRowHeight="10.5" customHeight="1" x14ac:dyDescent="0.25"/>
  <cols>
    <col min="1" max="1" width="4.140625" style="39" bestFit="1" customWidth="1"/>
    <col min="2" max="2" width="16.28515625" style="39" customWidth="1"/>
    <col min="3" max="3" width="11" style="39" bestFit="1" customWidth="1"/>
    <col min="4" max="4" width="11.85546875" style="39" bestFit="1" customWidth="1"/>
    <col min="5" max="5" width="8.85546875" style="39" customWidth="1"/>
    <col min="6" max="6" width="8.42578125" style="39" bestFit="1" customWidth="1"/>
    <col min="7" max="7" width="8.7109375" style="39" bestFit="1" customWidth="1"/>
    <col min="8" max="8" width="8.7109375" style="39" customWidth="1"/>
    <col min="9" max="9" width="4.5703125" style="39" customWidth="1"/>
    <col min="10" max="10" width="8.42578125" style="39" bestFit="1" customWidth="1"/>
    <col min="11" max="11" width="11.28515625" style="39" customWidth="1"/>
    <col min="12" max="16384" width="9.140625" style="39"/>
  </cols>
  <sheetData>
    <row r="1" spans="1:11" ht="10.5" customHeight="1" x14ac:dyDescent="0.25">
      <c r="A1" s="58" t="s">
        <v>514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0.5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10.5" customHeight="1" x14ac:dyDescent="0.25">
      <c r="A3" s="52" t="s">
        <v>513</v>
      </c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10.5" customHeight="1" x14ac:dyDescent="0.25">
      <c r="A4" s="49" t="s">
        <v>502</v>
      </c>
      <c r="B4" s="49" t="s">
        <v>3</v>
      </c>
      <c r="C4" s="49" t="s">
        <v>503</v>
      </c>
      <c r="D4" s="49" t="s">
        <v>515</v>
      </c>
      <c r="E4" s="51" t="s">
        <v>504</v>
      </c>
      <c r="F4" s="51"/>
      <c r="G4" s="51" t="s">
        <v>509</v>
      </c>
      <c r="H4" s="51"/>
      <c r="I4" s="51" t="s">
        <v>510</v>
      </c>
      <c r="J4" s="51"/>
      <c r="K4" s="49" t="s">
        <v>507</v>
      </c>
    </row>
    <row r="5" spans="1:11" ht="10.5" customHeight="1" x14ac:dyDescent="0.25">
      <c r="A5" s="50"/>
      <c r="B5" s="50"/>
      <c r="C5" s="50"/>
      <c r="D5" s="50"/>
      <c r="E5" s="35" t="s">
        <v>505</v>
      </c>
      <c r="F5" s="35" t="s">
        <v>506</v>
      </c>
      <c r="G5" s="35" t="s">
        <v>505</v>
      </c>
      <c r="H5" s="35" t="s">
        <v>506</v>
      </c>
      <c r="I5" s="35" t="s">
        <v>505</v>
      </c>
      <c r="J5" s="35" t="s">
        <v>506</v>
      </c>
      <c r="K5" s="50"/>
    </row>
    <row r="6" spans="1:11" ht="10.5" customHeight="1" x14ac:dyDescent="0.25">
      <c r="A6" s="49">
        <v>1</v>
      </c>
      <c r="B6" s="49" t="s">
        <v>5</v>
      </c>
      <c r="C6" s="49">
        <v>265</v>
      </c>
      <c r="D6" s="49">
        <v>319</v>
      </c>
      <c r="E6" s="34">
        <v>46144</v>
      </c>
      <c r="F6" s="35">
        <v>19</v>
      </c>
      <c r="G6" s="34"/>
      <c r="H6" s="35"/>
      <c r="I6" s="34"/>
      <c r="J6" s="35"/>
      <c r="K6" s="49">
        <f>F7+F6</f>
        <v>319</v>
      </c>
    </row>
    <row r="7" spans="1:11" ht="10.5" customHeight="1" x14ac:dyDescent="0.25">
      <c r="A7" s="50"/>
      <c r="B7" s="50"/>
      <c r="C7" s="50"/>
      <c r="D7" s="50"/>
      <c r="E7" s="34">
        <v>46144</v>
      </c>
      <c r="F7" s="35">
        <v>300</v>
      </c>
      <c r="G7" s="34"/>
      <c r="H7" s="35"/>
      <c r="I7" s="34"/>
      <c r="J7" s="35"/>
      <c r="K7" s="50"/>
    </row>
    <row r="8" spans="1:11" ht="10.5" customHeight="1" x14ac:dyDescent="0.25">
      <c r="A8" s="49">
        <v>2</v>
      </c>
      <c r="B8" s="53" t="s">
        <v>7</v>
      </c>
      <c r="C8" s="53">
        <v>414</v>
      </c>
      <c r="D8" s="49">
        <v>500</v>
      </c>
      <c r="E8" s="34">
        <v>46144</v>
      </c>
      <c r="F8" s="35">
        <v>300</v>
      </c>
      <c r="G8" s="34"/>
      <c r="H8" s="35"/>
      <c r="I8" s="34"/>
      <c r="J8" s="35"/>
      <c r="K8" s="49">
        <f>F8+F9</f>
        <v>500</v>
      </c>
    </row>
    <row r="9" spans="1:11" ht="10.5" customHeight="1" x14ac:dyDescent="0.25">
      <c r="A9" s="50"/>
      <c r="B9" s="54"/>
      <c r="C9" s="54"/>
      <c r="D9" s="50"/>
      <c r="E9" s="34">
        <v>46144</v>
      </c>
      <c r="F9" s="35">
        <v>200</v>
      </c>
      <c r="G9" s="34"/>
      <c r="H9" s="35"/>
      <c r="I9" s="34"/>
      <c r="J9" s="35"/>
      <c r="K9" s="50"/>
    </row>
    <row r="10" spans="1:11" ht="10.5" customHeight="1" x14ac:dyDescent="0.25">
      <c r="A10" s="49">
        <v>3</v>
      </c>
      <c r="B10" s="49" t="s">
        <v>17</v>
      </c>
      <c r="C10" s="49">
        <v>32</v>
      </c>
      <c r="D10" s="49">
        <v>135</v>
      </c>
      <c r="E10" s="34">
        <v>46144</v>
      </c>
      <c r="F10" s="35">
        <v>35</v>
      </c>
      <c r="G10" s="34"/>
      <c r="H10" s="35"/>
      <c r="I10" s="34"/>
      <c r="J10" s="35"/>
      <c r="K10" s="49">
        <v>135</v>
      </c>
    </row>
    <row r="11" spans="1:11" ht="10.5" customHeight="1" x14ac:dyDescent="0.25">
      <c r="A11" s="50"/>
      <c r="B11" s="50"/>
      <c r="C11" s="50"/>
      <c r="D11" s="50"/>
      <c r="E11" s="34">
        <v>46144</v>
      </c>
      <c r="F11" s="35">
        <v>100</v>
      </c>
      <c r="G11" s="34"/>
      <c r="H11" s="35"/>
      <c r="I11" s="34"/>
      <c r="J11" s="35"/>
      <c r="K11" s="50"/>
    </row>
    <row r="12" spans="1:11" ht="10.5" customHeight="1" x14ac:dyDescent="0.25">
      <c r="A12" s="49">
        <v>4</v>
      </c>
      <c r="B12" s="49" t="s">
        <v>21</v>
      </c>
      <c r="C12" s="49">
        <v>82</v>
      </c>
      <c r="D12" s="49">
        <v>80</v>
      </c>
      <c r="E12" s="34">
        <v>46144</v>
      </c>
      <c r="F12" s="35">
        <v>30</v>
      </c>
      <c r="G12" s="34"/>
      <c r="H12" s="35"/>
      <c r="I12" s="34"/>
      <c r="J12" s="35"/>
      <c r="K12" s="49">
        <v>80</v>
      </c>
    </row>
    <row r="13" spans="1:11" ht="10.5" customHeight="1" x14ac:dyDescent="0.25">
      <c r="A13" s="50"/>
      <c r="B13" s="50"/>
      <c r="C13" s="50"/>
      <c r="D13" s="50"/>
      <c r="E13" s="34">
        <v>46144</v>
      </c>
      <c r="F13" s="35">
        <v>50</v>
      </c>
      <c r="G13" s="34"/>
      <c r="H13" s="35"/>
      <c r="I13" s="34"/>
      <c r="J13" s="35"/>
      <c r="K13" s="50"/>
    </row>
    <row r="14" spans="1:11" ht="10.5" customHeight="1" x14ac:dyDescent="0.25">
      <c r="A14" s="35">
        <v>5</v>
      </c>
      <c r="B14" s="35" t="s">
        <v>15</v>
      </c>
      <c r="C14" s="35">
        <v>69</v>
      </c>
      <c r="D14" s="35">
        <v>0</v>
      </c>
      <c r="E14" s="35"/>
      <c r="F14" s="35"/>
      <c r="G14" s="35"/>
      <c r="H14" s="35"/>
      <c r="I14" s="35"/>
      <c r="J14" s="35"/>
      <c r="K14" s="36" t="s">
        <v>508</v>
      </c>
    </row>
    <row r="15" spans="1:11" ht="10.5" customHeight="1" x14ac:dyDescent="0.25">
      <c r="A15" s="35">
        <v>6</v>
      </c>
      <c r="B15" s="35" t="s">
        <v>13</v>
      </c>
      <c r="C15" s="35">
        <v>63</v>
      </c>
      <c r="D15" s="35">
        <v>30</v>
      </c>
      <c r="E15" s="34">
        <v>46144</v>
      </c>
      <c r="F15" s="35">
        <v>10</v>
      </c>
      <c r="G15" s="34"/>
      <c r="H15" s="35"/>
      <c r="I15" s="34"/>
      <c r="J15" s="35"/>
      <c r="K15" s="35">
        <v>10</v>
      </c>
    </row>
    <row r="16" spans="1:11" ht="10.5" customHeight="1" x14ac:dyDescent="0.25">
      <c r="A16" s="49">
        <v>7</v>
      </c>
      <c r="B16" s="49" t="s">
        <v>41</v>
      </c>
      <c r="C16" s="49">
        <v>52</v>
      </c>
      <c r="D16" s="49">
        <v>112</v>
      </c>
      <c r="E16" s="34">
        <v>46144</v>
      </c>
      <c r="F16" s="35">
        <v>12</v>
      </c>
      <c r="G16" s="34"/>
      <c r="H16" s="35"/>
      <c r="I16" s="34"/>
      <c r="J16" s="35"/>
      <c r="K16" s="49">
        <v>112</v>
      </c>
    </row>
    <row r="17" spans="1:11" ht="10.5" customHeight="1" x14ac:dyDescent="0.25">
      <c r="A17" s="50"/>
      <c r="B17" s="50"/>
      <c r="C17" s="50"/>
      <c r="D17" s="50"/>
      <c r="E17" s="34">
        <v>46144</v>
      </c>
      <c r="F17" s="35">
        <v>100</v>
      </c>
      <c r="G17" s="34"/>
      <c r="H17" s="35"/>
      <c r="I17" s="34"/>
      <c r="J17" s="35"/>
      <c r="K17" s="50"/>
    </row>
    <row r="18" spans="1:11" ht="10.5" customHeight="1" x14ac:dyDescent="0.25">
      <c r="A18" s="35">
        <v>8</v>
      </c>
      <c r="B18" s="35" t="s">
        <v>43</v>
      </c>
      <c r="C18" s="35">
        <v>38</v>
      </c>
      <c r="D18" s="35">
        <v>50</v>
      </c>
      <c r="E18" s="34">
        <v>46144</v>
      </c>
      <c r="F18" s="35">
        <v>25</v>
      </c>
      <c r="G18" s="34"/>
      <c r="H18" s="35"/>
      <c r="I18" s="34"/>
      <c r="J18" s="35"/>
      <c r="K18" s="35">
        <v>25</v>
      </c>
    </row>
    <row r="19" spans="1:11" ht="10.5" customHeight="1" x14ac:dyDescent="0.25">
      <c r="A19" s="35">
        <v>9</v>
      </c>
      <c r="B19" s="35" t="s">
        <v>25</v>
      </c>
      <c r="C19" s="35">
        <v>82</v>
      </c>
      <c r="D19" s="35">
        <v>150</v>
      </c>
      <c r="E19" s="34">
        <v>46144</v>
      </c>
      <c r="F19" s="35">
        <v>100</v>
      </c>
      <c r="G19" s="34"/>
      <c r="H19" s="35"/>
      <c r="I19" s="34"/>
      <c r="J19" s="35"/>
      <c r="K19" s="35">
        <v>100</v>
      </c>
    </row>
    <row r="20" spans="1:11" ht="10.5" customHeight="1" x14ac:dyDescent="0.25">
      <c r="A20" s="49">
        <v>10</v>
      </c>
      <c r="B20" s="49" t="s">
        <v>27</v>
      </c>
      <c r="C20" s="49">
        <v>24</v>
      </c>
      <c r="D20" s="49">
        <v>95</v>
      </c>
      <c r="E20" s="34">
        <v>46144</v>
      </c>
      <c r="F20" s="35">
        <v>45</v>
      </c>
      <c r="G20" s="34"/>
      <c r="H20" s="35"/>
      <c r="I20" s="34"/>
      <c r="J20" s="35"/>
      <c r="K20" s="49">
        <f>F20+F21</f>
        <v>95</v>
      </c>
    </row>
    <row r="21" spans="1:11" ht="10.5" customHeight="1" x14ac:dyDescent="0.25">
      <c r="A21" s="50"/>
      <c r="B21" s="50"/>
      <c r="C21" s="50"/>
      <c r="D21" s="50"/>
      <c r="E21" s="34">
        <v>46144</v>
      </c>
      <c r="F21" s="35">
        <v>50</v>
      </c>
      <c r="G21" s="34"/>
      <c r="H21" s="35"/>
      <c r="I21" s="34"/>
      <c r="J21" s="35"/>
      <c r="K21" s="50"/>
    </row>
    <row r="22" spans="1:11" ht="10.5" customHeight="1" x14ac:dyDescent="0.25">
      <c r="A22" s="35">
        <v>11</v>
      </c>
      <c r="B22" s="35" t="s">
        <v>29</v>
      </c>
      <c r="C22" s="35">
        <v>2</v>
      </c>
      <c r="D22" s="35">
        <v>0</v>
      </c>
      <c r="E22" s="35"/>
      <c r="F22" s="35"/>
      <c r="G22" s="35"/>
      <c r="H22" s="35"/>
      <c r="I22" s="35"/>
      <c r="J22" s="35"/>
      <c r="K22" s="36" t="s">
        <v>508</v>
      </c>
    </row>
    <row r="23" spans="1:11" ht="10.5" customHeight="1" x14ac:dyDescent="0.25">
      <c r="A23" s="35">
        <v>12</v>
      </c>
      <c r="B23" s="35" t="s">
        <v>31</v>
      </c>
      <c r="C23" s="35">
        <v>2</v>
      </c>
      <c r="D23" s="35">
        <v>0</v>
      </c>
      <c r="E23" s="35"/>
      <c r="F23" s="35"/>
      <c r="G23" s="35"/>
      <c r="H23" s="35"/>
      <c r="I23" s="35"/>
      <c r="J23" s="35"/>
      <c r="K23" s="36" t="s">
        <v>508</v>
      </c>
    </row>
    <row r="24" spans="1:11" ht="10.5" customHeight="1" x14ac:dyDescent="0.25">
      <c r="A24" s="35">
        <v>13</v>
      </c>
      <c r="B24" s="35" t="s">
        <v>57</v>
      </c>
      <c r="C24" s="35">
        <v>74</v>
      </c>
      <c r="D24" s="35">
        <v>50</v>
      </c>
      <c r="E24" s="34">
        <v>46144</v>
      </c>
      <c r="F24" s="35">
        <v>50</v>
      </c>
      <c r="G24" s="34"/>
      <c r="H24" s="35"/>
      <c r="I24" s="34"/>
      <c r="J24" s="35"/>
      <c r="K24" s="35">
        <v>50</v>
      </c>
    </row>
    <row r="25" spans="1:11" ht="10.5" customHeight="1" x14ac:dyDescent="0.25">
      <c r="A25" s="35">
        <v>14</v>
      </c>
      <c r="B25" s="35" t="s">
        <v>10</v>
      </c>
      <c r="C25" s="35">
        <v>292</v>
      </c>
      <c r="D25" s="35">
        <v>200</v>
      </c>
      <c r="E25" s="35"/>
      <c r="F25" s="35"/>
      <c r="G25" s="35"/>
      <c r="H25" s="35"/>
      <c r="I25" s="35"/>
      <c r="J25" s="35"/>
      <c r="K25" s="36" t="s">
        <v>508</v>
      </c>
    </row>
    <row r="26" spans="1:11" ht="10.5" customHeight="1" x14ac:dyDescent="0.25">
      <c r="A26" s="35">
        <v>15</v>
      </c>
      <c r="B26" s="35" t="s">
        <v>12</v>
      </c>
      <c r="C26" s="35">
        <v>597</v>
      </c>
      <c r="D26" s="35">
        <v>200</v>
      </c>
      <c r="E26" s="34"/>
      <c r="F26" s="35"/>
      <c r="G26" s="34">
        <v>46167</v>
      </c>
      <c r="H26" s="35">
        <v>150</v>
      </c>
      <c r="I26" s="34"/>
      <c r="J26" s="35"/>
      <c r="K26" s="35">
        <v>150</v>
      </c>
    </row>
    <row r="27" spans="1:11" ht="10.5" customHeight="1" x14ac:dyDescent="0.25">
      <c r="A27" s="35">
        <v>16</v>
      </c>
      <c r="B27" s="35" t="s">
        <v>18</v>
      </c>
      <c r="C27" s="35">
        <v>777</v>
      </c>
      <c r="D27" s="35">
        <v>0</v>
      </c>
      <c r="E27" s="35"/>
      <c r="F27" s="35"/>
      <c r="G27" s="35"/>
      <c r="H27" s="35"/>
      <c r="I27" s="35"/>
      <c r="J27" s="35"/>
      <c r="K27" s="36" t="s">
        <v>508</v>
      </c>
    </row>
    <row r="28" spans="1:11" ht="10.5" customHeight="1" x14ac:dyDescent="0.25">
      <c r="A28" s="35">
        <v>17</v>
      </c>
      <c r="B28" s="35" t="s">
        <v>20</v>
      </c>
      <c r="C28" s="35">
        <v>326</v>
      </c>
      <c r="D28" s="35">
        <v>300</v>
      </c>
      <c r="E28" s="34"/>
      <c r="F28" s="35"/>
      <c r="G28" s="34">
        <v>46167</v>
      </c>
      <c r="H28" s="35">
        <v>300</v>
      </c>
      <c r="I28" s="34"/>
      <c r="J28" s="35"/>
      <c r="K28" s="35">
        <v>300</v>
      </c>
    </row>
    <row r="29" spans="1:11" ht="10.5" customHeight="1" x14ac:dyDescent="0.25">
      <c r="A29" s="49">
        <v>18</v>
      </c>
      <c r="B29" s="49" t="s">
        <v>26</v>
      </c>
      <c r="C29" s="49">
        <v>488</v>
      </c>
      <c r="D29" s="49">
        <v>180</v>
      </c>
      <c r="E29" s="34"/>
      <c r="F29" s="35"/>
      <c r="G29" s="34">
        <v>46125</v>
      </c>
      <c r="H29" s="35">
        <v>150</v>
      </c>
      <c r="I29" s="34"/>
      <c r="J29" s="35"/>
      <c r="K29" s="49">
        <v>300</v>
      </c>
    </row>
    <row r="30" spans="1:11" ht="10.5" customHeight="1" x14ac:dyDescent="0.25">
      <c r="A30" s="50"/>
      <c r="B30" s="50"/>
      <c r="C30" s="50"/>
      <c r="D30" s="50"/>
      <c r="E30" s="34"/>
      <c r="F30" s="35"/>
      <c r="G30" s="34">
        <v>46167</v>
      </c>
      <c r="H30" s="35">
        <v>150</v>
      </c>
      <c r="I30" s="34"/>
      <c r="J30" s="35"/>
      <c r="K30" s="50"/>
    </row>
    <row r="31" spans="1:11" ht="10.5" customHeight="1" x14ac:dyDescent="0.25">
      <c r="A31" s="35">
        <v>19</v>
      </c>
      <c r="B31" s="35" t="s">
        <v>28</v>
      </c>
      <c r="C31" s="35">
        <v>40</v>
      </c>
      <c r="D31" s="35">
        <v>0</v>
      </c>
      <c r="E31" s="35"/>
      <c r="F31" s="35"/>
      <c r="G31" s="35"/>
      <c r="H31" s="35"/>
      <c r="I31" s="35"/>
      <c r="J31" s="35"/>
      <c r="K31" s="36" t="s">
        <v>508</v>
      </c>
    </row>
    <row r="32" spans="1:11" ht="10.5" customHeight="1" x14ac:dyDescent="0.25">
      <c r="A32" s="35">
        <v>20</v>
      </c>
      <c r="B32" s="35" t="s">
        <v>34</v>
      </c>
      <c r="C32" s="35">
        <v>377</v>
      </c>
      <c r="D32" s="35">
        <v>0</v>
      </c>
      <c r="E32" s="35"/>
      <c r="F32" s="35"/>
      <c r="G32" s="35"/>
      <c r="H32" s="35"/>
      <c r="I32" s="35"/>
      <c r="J32" s="35"/>
      <c r="K32" s="36" t="s">
        <v>508</v>
      </c>
    </row>
    <row r="33" spans="1:11" ht="10.5" customHeight="1" x14ac:dyDescent="0.25">
      <c r="A33" s="49">
        <v>21</v>
      </c>
      <c r="B33" s="49" t="s">
        <v>36</v>
      </c>
      <c r="C33" s="49">
        <v>116</v>
      </c>
      <c r="D33" s="49">
        <v>200</v>
      </c>
      <c r="E33" s="34"/>
      <c r="F33" s="35"/>
      <c r="G33" s="34">
        <v>46125</v>
      </c>
      <c r="H33" s="35">
        <v>45</v>
      </c>
      <c r="I33" s="34"/>
      <c r="J33" s="35"/>
      <c r="K33" s="49">
        <v>245</v>
      </c>
    </row>
    <row r="34" spans="1:11" ht="10.5" customHeight="1" x14ac:dyDescent="0.25">
      <c r="A34" s="50"/>
      <c r="B34" s="50"/>
      <c r="C34" s="50"/>
      <c r="D34" s="50"/>
      <c r="E34" s="34"/>
      <c r="F34" s="35"/>
      <c r="G34" s="34">
        <v>46167</v>
      </c>
      <c r="H34" s="35">
        <v>200</v>
      </c>
      <c r="I34" s="34"/>
      <c r="J34" s="35"/>
      <c r="K34" s="50"/>
    </row>
    <row r="35" spans="1:11" ht="10.5" customHeight="1" x14ac:dyDescent="0.25">
      <c r="A35" s="35">
        <v>22</v>
      </c>
      <c r="B35" s="35" t="s">
        <v>42</v>
      </c>
      <c r="C35" s="35">
        <v>361</v>
      </c>
      <c r="D35" s="35">
        <v>300</v>
      </c>
      <c r="E35" s="34"/>
      <c r="F35" s="35"/>
      <c r="G35" s="34">
        <v>46167</v>
      </c>
      <c r="H35" s="35">
        <v>200</v>
      </c>
      <c r="I35" s="34"/>
      <c r="J35" s="35"/>
      <c r="K35" s="35">
        <v>200</v>
      </c>
    </row>
    <row r="36" spans="1:11" ht="10.5" customHeight="1" x14ac:dyDescent="0.25">
      <c r="A36" s="49">
        <v>23</v>
      </c>
      <c r="B36" s="49" t="s">
        <v>44</v>
      </c>
      <c r="C36" s="49">
        <v>197</v>
      </c>
      <c r="D36" s="49">
        <v>100</v>
      </c>
      <c r="E36" s="34"/>
      <c r="F36" s="35"/>
      <c r="G36" s="34">
        <v>46125</v>
      </c>
      <c r="H36" s="35">
        <v>30</v>
      </c>
      <c r="I36" s="34"/>
      <c r="J36" s="35"/>
      <c r="K36" s="49">
        <v>130</v>
      </c>
    </row>
    <row r="37" spans="1:11" ht="10.5" customHeight="1" x14ac:dyDescent="0.25">
      <c r="A37" s="50"/>
      <c r="B37" s="50"/>
      <c r="C37" s="50"/>
      <c r="D37" s="50"/>
      <c r="E37" s="34"/>
      <c r="F37" s="35"/>
      <c r="G37" s="34">
        <v>46167</v>
      </c>
      <c r="H37" s="35">
        <v>100</v>
      </c>
      <c r="I37" s="34"/>
      <c r="J37" s="35"/>
      <c r="K37" s="50"/>
    </row>
    <row r="38" spans="1:11" ht="10.5" customHeight="1" x14ac:dyDescent="0.25">
      <c r="A38" s="35">
        <v>24</v>
      </c>
      <c r="B38" s="35" t="s">
        <v>50</v>
      </c>
      <c r="C38" s="35">
        <v>246</v>
      </c>
      <c r="D38" s="35">
        <v>200</v>
      </c>
      <c r="E38" s="34"/>
      <c r="F38" s="35"/>
      <c r="G38" s="34">
        <v>46167</v>
      </c>
      <c r="H38" s="35">
        <v>200</v>
      </c>
      <c r="I38" s="34"/>
      <c r="J38" s="35"/>
      <c r="K38" s="35">
        <v>200</v>
      </c>
    </row>
    <row r="39" spans="1:11" ht="10.5" customHeight="1" x14ac:dyDescent="0.25">
      <c r="A39" s="35">
        <v>25</v>
      </c>
      <c r="B39" s="35" t="s">
        <v>52</v>
      </c>
      <c r="C39" s="35">
        <v>216</v>
      </c>
      <c r="D39" s="35">
        <v>200</v>
      </c>
      <c r="E39" s="34"/>
      <c r="F39" s="35"/>
      <c r="G39" s="34">
        <v>46167</v>
      </c>
      <c r="H39" s="35">
        <v>200</v>
      </c>
      <c r="I39" s="34"/>
      <c r="J39" s="35"/>
      <c r="K39" s="35">
        <v>200</v>
      </c>
    </row>
    <row r="40" spans="1:11" ht="10.5" customHeight="1" x14ac:dyDescent="0.25">
      <c r="A40" s="49">
        <v>26</v>
      </c>
      <c r="B40" s="49" t="s">
        <v>58</v>
      </c>
      <c r="C40" s="49">
        <v>68</v>
      </c>
      <c r="D40" s="49">
        <v>80</v>
      </c>
      <c r="E40" s="34"/>
      <c r="F40" s="35"/>
      <c r="G40" s="34">
        <v>46125</v>
      </c>
      <c r="H40" s="35">
        <v>10</v>
      </c>
      <c r="I40" s="34"/>
      <c r="J40" s="35"/>
      <c r="K40" s="49">
        <v>60</v>
      </c>
    </row>
    <row r="41" spans="1:11" ht="10.5" customHeight="1" x14ac:dyDescent="0.25">
      <c r="A41" s="50"/>
      <c r="B41" s="50"/>
      <c r="C41" s="50"/>
      <c r="D41" s="50"/>
      <c r="E41" s="34"/>
      <c r="F41" s="35"/>
      <c r="G41" s="34">
        <v>46167</v>
      </c>
      <c r="H41" s="35">
        <v>50</v>
      </c>
      <c r="I41" s="34"/>
      <c r="J41" s="35"/>
      <c r="K41" s="50"/>
    </row>
    <row r="42" spans="1:11" ht="10.5" customHeight="1" x14ac:dyDescent="0.25">
      <c r="A42" s="35">
        <v>27</v>
      </c>
      <c r="B42" s="35" t="s">
        <v>60</v>
      </c>
      <c r="C42" s="35">
        <v>76</v>
      </c>
      <c r="D42" s="35">
        <v>0</v>
      </c>
      <c r="E42" s="34"/>
      <c r="F42" s="35"/>
      <c r="G42" s="34">
        <v>46125</v>
      </c>
      <c r="H42" s="35">
        <v>5</v>
      </c>
      <c r="I42" s="34"/>
      <c r="J42" s="35"/>
      <c r="K42" s="35">
        <v>5</v>
      </c>
    </row>
    <row r="43" spans="1:11" ht="10.5" customHeight="1" x14ac:dyDescent="0.25">
      <c r="A43" s="49">
        <v>28</v>
      </c>
      <c r="B43" s="49" t="s">
        <v>198</v>
      </c>
      <c r="C43" s="49">
        <v>148</v>
      </c>
      <c r="D43" s="49">
        <v>180</v>
      </c>
      <c r="E43" s="34">
        <v>46144</v>
      </c>
      <c r="F43" s="35">
        <v>100</v>
      </c>
      <c r="G43" s="35"/>
      <c r="H43" s="35"/>
      <c r="I43" s="35"/>
      <c r="J43" s="35"/>
      <c r="K43" s="49">
        <v>180</v>
      </c>
    </row>
    <row r="44" spans="1:11" ht="10.5" customHeight="1" x14ac:dyDescent="0.25">
      <c r="A44" s="50"/>
      <c r="B44" s="50"/>
      <c r="C44" s="50"/>
      <c r="D44" s="50"/>
      <c r="E44" s="34">
        <v>46144</v>
      </c>
      <c r="F44" s="35">
        <v>80</v>
      </c>
      <c r="G44" s="35"/>
      <c r="H44" s="35"/>
      <c r="I44" s="35"/>
      <c r="J44" s="35"/>
      <c r="K44" s="50"/>
    </row>
    <row r="45" spans="1:11" ht="10.5" customHeight="1" x14ac:dyDescent="0.25">
      <c r="A45" s="49">
        <v>29</v>
      </c>
      <c r="B45" s="49" t="s">
        <v>200</v>
      </c>
      <c r="C45" s="49">
        <v>100</v>
      </c>
      <c r="D45" s="49">
        <v>130</v>
      </c>
      <c r="E45" s="34">
        <v>46144</v>
      </c>
      <c r="F45" s="35">
        <v>80</v>
      </c>
      <c r="G45" s="35"/>
      <c r="H45" s="35"/>
      <c r="I45" s="35"/>
      <c r="J45" s="35"/>
      <c r="K45" s="49">
        <v>130</v>
      </c>
    </row>
    <row r="46" spans="1:11" ht="10.5" customHeight="1" x14ac:dyDescent="0.25">
      <c r="A46" s="50"/>
      <c r="B46" s="50"/>
      <c r="C46" s="50"/>
      <c r="D46" s="50"/>
      <c r="E46" s="34">
        <v>46144</v>
      </c>
      <c r="F46" s="35">
        <v>50</v>
      </c>
      <c r="G46" s="35"/>
      <c r="H46" s="35"/>
      <c r="I46" s="35"/>
      <c r="J46" s="35"/>
      <c r="K46" s="50"/>
    </row>
    <row r="47" spans="1:11" ht="10.5" customHeight="1" x14ac:dyDescent="0.25">
      <c r="A47" s="35">
        <v>30</v>
      </c>
      <c r="B47" s="35" t="s">
        <v>210</v>
      </c>
      <c r="C47" s="35">
        <v>50</v>
      </c>
      <c r="D47" s="35">
        <v>0</v>
      </c>
      <c r="E47" s="35"/>
      <c r="F47" s="35"/>
      <c r="G47" s="35"/>
      <c r="H47" s="35"/>
      <c r="I47" s="35"/>
      <c r="J47" s="35"/>
      <c r="K47" s="36" t="s">
        <v>508</v>
      </c>
    </row>
    <row r="48" spans="1:11" ht="10.5" customHeight="1" x14ac:dyDescent="0.25">
      <c r="A48" s="35">
        <v>31</v>
      </c>
      <c r="B48" s="35" t="s">
        <v>212</v>
      </c>
      <c r="C48" s="35">
        <v>46</v>
      </c>
      <c r="D48" s="35">
        <v>0</v>
      </c>
      <c r="E48" s="35"/>
      <c r="F48" s="35"/>
      <c r="G48" s="35"/>
      <c r="H48" s="35"/>
      <c r="I48" s="35"/>
      <c r="J48" s="35"/>
      <c r="K48" s="36" t="s">
        <v>508</v>
      </c>
    </row>
    <row r="49" spans="1:11" ht="10.5" customHeight="1" x14ac:dyDescent="0.25">
      <c r="A49" s="35">
        <v>32</v>
      </c>
      <c r="B49" s="35" t="s">
        <v>202</v>
      </c>
      <c r="C49" s="35">
        <v>16</v>
      </c>
      <c r="D49" s="35">
        <v>30</v>
      </c>
      <c r="E49" s="34">
        <v>46144</v>
      </c>
      <c r="F49" s="35">
        <v>18</v>
      </c>
      <c r="G49" s="35"/>
      <c r="H49" s="35"/>
      <c r="I49" s="35"/>
      <c r="J49" s="35"/>
      <c r="K49" s="35">
        <v>18</v>
      </c>
    </row>
    <row r="50" spans="1:11" ht="10.5" customHeight="1" x14ac:dyDescent="0.25">
      <c r="A50" s="49">
        <v>33</v>
      </c>
      <c r="B50" s="49" t="s">
        <v>204</v>
      </c>
      <c r="C50" s="49">
        <v>58</v>
      </c>
      <c r="D50" s="49">
        <v>80</v>
      </c>
      <c r="E50" s="34">
        <v>46144</v>
      </c>
      <c r="F50" s="35">
        <v>50</v>
      </c>
      <c r="G50" s="35"/>
      <c r="H50" s="35"/>
      <c r="I50" s="35"/>
      <c r="J50" s="35"/>
      <c r="K50" s="49">
        <v>80</v>
      </c>
    </row>
    <row r="51" spans="1:11" ht="10.5" customHeight="1" x14ac:dyDescent="0.25">
      <c r="A51" s="50"/>
      <c r="B51" s="50"/>
      <c r="C51" s="50"/>
      <c r="D51" s="50"/>
      <c r="E51" s="34">
        <v>46144</v>
      </c>
      <c r="F51" s="35">
        <v>30</v>
      </c>
      <c r="G51" s="35"/>
      <c r="H51" s="35"/>
      <c r="I51" s="35"/>
      <c r="J51" s="35"/>
      <c r="K51" s="50"/>
    </row>
    <row r="52" spans="1:11" ht="10.5" customHeight="1" x14ac:dyDescent="0.25">
      <c r="A52" s="35">
        <v>34</v>
      </c>
      <c r="B52" s="35" t="s">
        <v>206</v>
      </c>
      <c r="C52" s="35">
        <v>16</v>
      </c>
      <c r="D52" s="35">
        <v>10</v>
      </c>
      <c r="E52" s="34">
        <v>46144</v>
      </c>
      <c r="F52" s="35">
        <v>10</v>
      </c>
      <c r="G52" s="35"/>
      <c r="H52" s="35"/>
      <c r="I52" s="35"/>
      <c r="J52" s="35"/>
      <c r="K52" s="35">
        <v>10</v>
      </c>
    </row>
    <row r="53" spans="1:11" ht="10.5" customHeight="1" x14ac:dyDescent="0.25">
      <c r="A53" s="49">
        <v>35</v>
      </c>
      <c r="B53" s="49" t="s">
        <v>208</v>
      </c>
      <c r="C53" s="49">
        <v>25</v>
      </c>
      <c r="D53" s="49">
        <v>20</v>
      </c>
      <c r="E53" s="34">
        <v>46144</v>
      </c>
      <c r="F53" s="35">
        <v>10</v>
      </c>
      <c r="G53" s="35"/>
      <c r="H53" s="35"/>
      <c r="I53" s="35"/>
      <c r="J53" s="35"/>
      <c r="K53" s="49">
        <v>20</v>
      </c>
    </row>
    <row r="54" spans="1:11" ht="10.5" customHeight="1" x14ac:dyDescent="0.25">
      <c r="A54" s="50"/>
      <c r="B54" s="50"/>
      <c r="C54" s="50"/>
      <c r="D54" s="50"/>
      <c r="E54" s="34">
        <v>46144</v>
      </c>
      <c r="F54" s="35">
        <v>10</v>
      </c>
      <c r="G54" s="35"/>
      <c r="H54" s="35"/>
      <c r="I54" s="35"/>
      <c r="J54" s="35"/>
      <c r="K54" s="50"/>
    </row>
    <row r="55" spans="1:11" ht="10.5" customHeight="1" x14ac:dyDescent="0.25">
      <c r="A55" s="49">
        <v>36</v>
      </c>
      <c r="B55" s="49" t="s">
        <v>152</v>
      </c>
      <c r="C55" s="49">
        <v>22</v>
      </c>
      <c r="D55" s="49">
        <v>50</v>
      </c>
      <c r="E55" s="34">
        <v>46144</v>
      </c>
      <c r="F55" s="35">
        <v>20</v>
      </c>
      <c r="G55" s="35"/>
      <c r="H55" s="35"/>
      <c r="I55" s="35"/>
      <c r="J55" s="35"/>
      <c r="K55" s="49">
        <v>50</v>
      </c>
    </row>
    <row r="56" spans="1:11" ht="10.5" customHeight="1" x14ac:dyDescent="0.25">
      <c r="A56" s="50"/>
      <c r="B56" s="50"/>
      <c r="C56" s="50"/>
      <c r="D56" s="50"/>
      <c r="E56" s="34">
        <v>46144</v>
      </c>
      <c r="F56" s="35">
        <v>30</v>
      </c>
      <c r="G56" s="35"/>
      <c r="H56" s="35"/>
      <c r="I56" s="35"/>
      <c r="J56" s="35"/>
      <c r="K56" s="50"/>
    </row>
    <row r="57" spans="1:11" ht="10.5" customHeight="1" x14ac:dyDescent="0.25">
      <c r="A57" s="35">
        <v>37</v>
      </c>
      <c r="B57" s="35" t="s">
        <v>154</v>
      </c>
      <c r="C57" s="35">
        <v>19</v>
      </c>
      <c r="D57" s="35">
        <v>20</v>
      </c>
      <c r="E57" s="34">
        <v>46144</v>
      </c>
      <c r="F57" s="35">
        <v>20</v>
      </c>
      <c r="G57" s="35"/>
      <c r="H57" s="35"/>
      <c r="I57" s="35"/>
      <c r="J57" s="35"/>
      <c r="K57" s="35">
        <v>20</v>
      </c>
    </row>
    <row r="58" spans="1:11" ht="10.5" customHeight="1" x14ac:dyDescent="0.25">
      <c r="A58" s="49">
        <v>38</v>
      </c>
      <c r="B58" s="49" t="s">
        <v>156</v>
      </c>
      <c r="C58" s="49">
        <v>29</v>
      </c>
      <c r="D58" s="49">
        <v>50</v>
      </c>
      <c r="E58" s="34">
        <v>46144</v>
      </c>
      <c r="F58" s="35">
        <v>30</v>
      </c>
      <c r="G58" s="35"/>
      <c r="H58" s="35"/>
      <c r="I58" s="35"/>
      <c r="J58" s="35"/>
      <c r="K58" s="49">
        <v>50</v>
      </c>
    </row>
    <row r="59" spans="1:11" ht="10.5" customHeight="1" x14ac:dyDescent="0.25">
      <c r="A59" s="50"/>
      <c r="B59" s="50"/>
      <c r="C59" s="50"/>
      <c r="D59" s="50"/>
      <c r="E59" s="34">
        <v>46144</v>
      </c>
      <c r="F59" s="35">
        <v>20</v>
      </c>
      <c r="G59" s="35"/>
      <c r="H59" s="35"/>
      <c r="I59" s="35"/>
      <c r="J59" s="35"/>
      <c r="K59" s="50"/>
    </row>
    <row r="60" spans="1:11" ht="10.5" customHeight="1" x14ac:dyDescent="0.25">
      <c r="A60" s="49" t="s">
        <v>516</v>
      </c>
      <c r="B60" s="49" t="s">
        <v>158</v>
      </c>
      <c r="C60" s="49">
        <v>9</v>
      </c>
      <c r="D60" s="49">
        <v>11</v>
      </c>
      <c r="E60" s="34">
        <v>46144</v>
      </c>
      <c r="F60" s="35">
        <v>1</v>
      </c>
      <c r="G60" s="35"/>
      <c r="H60" s="35"/>
      <c r="I60" s="35"/>
      <c r="J60" s="35"/>
      <c r="K60" s="49">
        <v>11</v>
      </c>
    </row>
    <row r="61" spans="1:11" ht="10.5" customHeight="1" x14ac:dyDescent="0.25">
      <c r="A61" s="50"/>
      <c r="B61" s="50"/>
      <c r="C61" s="50"/>
      <c r="D61" s="50"/>
      <c r="E61" s="34">
        <v>46144</v>
      </c>
      <c r="F61" s="35">
        <v>10</v>
      </c>
      <c r="G61" s="35"/>
      <c r="H61" s="35"/>
      <c r="I61" s="35"/>
      <c r="J61" s="35"/>
      <c r="K61" s="50"/>
    </row>
    <row r="62" spans="1:11" ht="10.5" customHeight="1" x14ac:dyDescent="0.25">
      <c r="A62" s="35">
        <v>40</v>
      </c>
      <c r="B62" s="35" t="s">
        <v>160</v>
      </c>
      <c r="C62" s="35">
        <v>7</v>
      </c>
      <c r="D62" s="35">
        <v>0</v>
      </c>
      <c r="E62" s="35"/>
      <c r="F62" s="35"/>
      <c r="G62" s="35"/>
      <c r="H62" s="35"/>
      <c r="I62" s="35"/>
      <c r="J62" s="35"/>
      <c r="K62" s="36" t="s">
        <v>508</v>
      </c>
    </row>
    <row r="63" spans="1:11" ht="10.5" customHeight="1" x14ac:dyDescent="0.25">
      <c r="A63" s="49">
        <v>41</v>
      </c>
      <c r="B63" s="49" t="s">
        <v>226</v>
      </c>
      <c r="C63" s="49">
        <v>8</v>
      </c>
      <c r="D63" s="49">
        <v>60</v>
      </c>
      <c r="E63" s="34">
        <v>46144</v>
      </c>
      <c r="F63" s="35">
        <v>30</v>
      </c>
      <c r="G63" s="35"/>
      <c r="H63" s="35"/>
      <c r="I63" s="35"/>
      <c r="J63" s="35"/>
      <c r="K63" s="49">
        <v>60</v>
      </c>
    </row>
    <row r="64" spans="1:11" ht="10.5" customHeight="1" x14ac:dyDescent="0.25">
      <c r="A64" s="50"/>
      <c r="B64" s="50"/>
      <c r="C64" s="50"/>
      <c r="D64" s="50"/>
      <c r="E64" s="34">
        <v>46144</v>
      </c>
      <c r="F64" s="35">
        <v>30</v>
      </c>
      <c r="G64" s="35"/>
      <c r="H64" s="35"/>
      <c r="I64" s="35"/>
      <c r="J64" s="35"/>
      <c r="K64" s="50"/>
    </row>
    <row r="65" spans="1:11" ht="10.5" customHeight="1" x14ac:dyDescent="0.25">
      <c r="A65" s="49">
        <v>42</v>
      </c>
      <c r="B65" s="49" t="s">
        <v>228</v>
      </c>
      <c r="C65" s="49">
        <v>35</v>
      </c>
      <c r="D65" s="49">
        <v>60</v>
      </c>
      <c r="E65" s="34">
        <v>46144</v>
      </c>
      <c r="F65" s="35">
        <v>30</v>
      </c>
      <c r="G65" s="35"/>
      <c r="H65" s="35"/>
      <c r="I65" s="35"/>
      <c r="J65" s="35"/>
      <c r="K65" s="49">
        <v>60</v>
      </c>
    </row>
    <row r="66" spans="1:11" ht="10.5" customHeight="1" x14ac:dyDescent="0.25">
      <c r="A66" s="50"/>
      <c r="B66" s="50"/>
      <c r="C66" s="50"/>
      <c r="D66" s="50"/>
      <c r="E66" s="34">
        <v>46144</v>
      </c>
      <c r="F66" s="35">
        <v>30</v>
      </c>
      <c r="G66" s="35"/>
      <c r="H66" s="35"/>
      <c r="I66" s="35"/>
      <c r="J66" s="35"/>
      <c r="K66" s="50"/>
    </row>
    <row r="67" spans="1:11" ht="10.5" customHeight="1" x14ac:dyDescent="0.25">
      <c r="A67" s="49">
        <v>43</v>
      </c>
      <c r="B67" s="49" t="s">
        <v>231</v>
      </c>
      <c r="C67" s="49">
        <v>6</v>
      </c>
      <c r="D67" s="49">
        <v>50</v>
      </c>
      <c r="E67" s="34">
        <v>46144</v>
      </c>
      <c r="F67" s="35">
        <v>30</v>
      </c>
      <c r="G67" s="35"/>
      <c r="H67" s="35"/>
      <c r="I67" s="35"/>
      <c r="J67" s="35"/>
      <c r="K67" s="49">
        <v>50</v>
      </c>
    </row>
    <row r="68" spans="1:11" ht="10.5" customHeight="1" x14ac:dyDescent="0.25">
      <c r="A68" s="50"/>
      <c r="B68" s="50"/>
      <c r="C68" s="50"/>
      <c r="D68" s="50"/>
      <c r="E68" s="34">
        <v>46144</v>
      </c>
      <c r="F68" s="35">
        <v>20</v>
      </c>
      <c r="G68" s="35"/>
      <c r="H68" s="35"/>
      <c r="I68" s="35"/>
      <c r="J68" s="35"/>
      <c r="K68" s="50"/>
    </row>
    <row r="69" spans="1:11" ht="10.5" customHeight="1" x14ac:dyDescent="0.25">
      <c r="A69" s="35">
        <v>44</v>
      </c>
      <c r="B69" s="35" t="s">
        <v>232</v>
      </c>
      <c r="C69" s="35">
        <v>20</v>
      </c>
      <c r="D69" s="35">
        <v>30</v>
      </c>
      <c r="E69" s="34"/>
      <c r="F69" s="35"/>
      <c r="G69" s="35"/>
      <c r="H69" s="35"/>
      <c r="I69" s="35"/>
      <c r="J69" s="35"/>
      <c r="K69" s="36" t="s">
        <v>508</v>
      </c>
    </row>
    <row r="70" spans="1:11" ht="10.5" customHeight="1" x14ac:dyDescent="0.25">
      <c r="A70" s="49">
        <v>45</v>
      </c>
      <c r="B70" s="49" t="s">
        <v>133</v>
      </c>
      <c r="C70" s="49">
        <v>270</v>
      </c>
      <c r="D70" s="49">
        <v>254</v>
      </c>
      <c r="E70" s="34">
        <v>46144</v>
      </c>
      <c r="F70" s="35">
        <v>104</v>
      </c>
      <c r="G70" s="35"/>
      <c r="H70" s="35"/>
      <c r="I70" s="35"/>
      <c r="J70" s="35"/>
      <c r="K70" s="49">
        <f>F70+F71</f>
        <v>254</v>
      </c>
    </row>
    <row r="71" spans="1:11" ht="10.5" customHeight="1" x14ac:dyDescent="0.25">
      <c r="A71" s="50"/>
      <c r="B71" s="50"/>
      <c r="C71" s="50"/>
      <c r="D71" s="50"/>
      <c r="E71" s="34">
        <v>46144</v>
      </c>
      <c r="F71" s="35">
        <v>150</v>
      </c>
      <c r="G71" s="35"/>
      <c r="H71" s="35"/>
      <c r="I71" s="35"/>
      <c r="J71" s="35"/>
      <c r="K71" s="50"/>
    </row>
    <row r="72" spans="1:11" ht="10.5" customHeight="1" x14ac:dyDescent="0.25">
      <c r="A72" s="49">
        <v>46</v>
      </c>
      <c r="B72" s="49" t="s">
        <v>135</v>
      </c>
      <c r="C72" s="49">
        <v>209</v>
      </c>
      <c r="D72" s="49">
        <v>150</v>
      </c>
      <c r="E72" s="34">
        <v>46144</v>
      </c>
      <c r="F72" s="35">
        <v>50</v>
      </c>
      <c r="G72" s="35"/>
      <c r="H72" s="35"/>
      <c r="I72" s="35"/>
      <c r="J72" s="35"/>
      <c r="K72" s="49">
        <v>150</v>
      </c>
    </row>
    <row r="73" spans="1:11" ht="10.5" customHeight="1" x14ac:dyDescent="0.25">
      <c r="A73" s="50"/>
      <c r="B73" s="50"/>
      <c r="C73" s="50"/>
      <c r="D73" s="50"/>
      <c r="E73" s="34">
        <v>46144</v>
      </c>
      <c r="F73" s="35">
        <v>100</v>
      </c>
      <c r="G73" s="35"/>
      <c r="H73" s="35"/>
      <c r="I73" s="35"/>
      <c r="J73" s="35"/>
      <c r="K73" s="50"/>
    </row>
    <row r="74" spans="1:11" ht="10.5" customHeight="1" x14ac:dyDescent="0.25">
      <c r="A74" s="35">
        <v>47</v>
      </c>
      <c r="B74" s="35" t="s">
        <v>137</v>
      </c>
      <c r="C74" s="35">
        <v>174</v>
      </c>
      <c r="D74" s="35">
        <v>50</v>
      </c>
      <c r="E74" s="34">
        <v>46144</v>
      </c>
      <c r="F74" s="35">
        <v>50</v>
      </c>
      <c r="G74" s="35"/>
      <c r="H74" s="35"/>
      <c r="I74" s="35"/>
      <c r="J74" s="35"/>
      <c r="K74" s="35">
        <v>50</v>
      </c>
    </row>
    <row r="75" spans="1:11" ht="10.5" customHeight="1" x14ac:dyDescent="0.25">
      <c r="A75" s="49">
        <v>48</v>
      </c>
      <c r="B75" s="49" t="s">
        <v>139</v>
      </c>
      <c r="C75" s="49">
        <v>133</v>
      </c>
      <c r="D75" s="49">
        <v>81</v>
      </c>
      <c r="E75" s="34">
        <v>46144</v>
      </c>
      <c r="F75" s="35">
        <v>31</v>
      </c>
      <c r="G75" s="35"/>
      <c r="H75" s="35"/>
      <c r="I75" s="35"/>
      <c r="J75" s="35"/>
      <c r="K75" s="49">
        <f>F75+F76</f>
        <v>81</v>
      </c>
    </row>
    <row r="76" spans="1:11" ht="10.5" customHeight="1" x14ac:dyDescent="0.25">
      <c r="A76" s="50"/>
      <c r="B76" s="50"/>
      <c r="C76" s="50"/>
      <c r="D76" s="50"/>
      <c r="E76" s="34">
        <v>46144</v>
      </c>
      <c r="F76" s="35">
        <v>50</v>
      </c>
      <c r="G76" s="35"/>
      <c r="H76" s="35"/>
      <c r="I76" s="35"/>
      <c r="J76" s="35"/>
      <c r="K76" s="50"/>
    </row>
    <row r="77" spans="1:11" ht="10.5" customHeight="1" x14ac:dyDescent="0.25">
      <c r="A77" s="49">
        <v>49</v>
      </c>
      <c r="B77" s="49" t="s">
        <v>169</v>
      </c>
      <c r="C77" s="49">
        <v>157</v>
      </c>
      <c r="D77" s="49">
        <v>59</v>
      </c>
      <c r="E77" s="34">
        <v>46144</v>
      </c>
      <c r="F77" s="35">
        <v>9</v>
      </c>
      <c r="G77" s="35"/>
      <c r="H77" s="35"/>
      <c r="I77" s="35"/>
      <c r="J77" s="35"/>
      <c r="K77" s="49">
        <f>F77+F78</f>
        <v>59</v>
      </c>
    </row>
    <row r="78" spans="1:11" ht="10.5" customHeight="1" x14ac:dyDescent="0.25">
      <c r="A78" s="50"/>
      <c r="B78" s="50"/>
      <c r="C78" s="50"/>
      <c r="D78" s="50"/>
      <c r="E78" s="34">
        <v>46144</v>
      </c>
      <c r="F78" s="35">
        <v>50</v>
      </c>
      <c r="G78" s="35"/>
      <c r="H78" s="35"/>
      <c r="I78" s="35"/>
      <c r="J78" s="35"/>
      <c r="K78" s="50"/>
    </row>
    <row r="79" spans="1:11" ht="10.5" customHeight="1" x14ac:dyDescent="0.25">
      <c r="A79" s="49">
        <v>50</v>
      </c>
      <c r="B79" s="49" t="s">
        <v>171</v>
      </c>
      <c r="C79" s="49">
        <v>67</v>
      </c>
      <c r="D79" s="49">
        <v>90</v>
      </c>
      <c r="E79" s="34">
        <v>46144</v>
      </c>
      <c r="F79" s="35">
        <v>40</v>
      </c>
      <c r="G79" s="35"/>
      <c r="H79" s="35"/>
      <c r="I79" s="35"/>
      <c r="J79" s="35"/>
      <c r="K79" s="49">
        <f>F79+F80</f>
        <v>90</v>
      </c>
    </row>
    <row r="80" spans="1:11" ht="10.5" customHeight="1" x14ac:dyDescent="0.25">
      <c r="A80" s="50"/>
      <c r="B80" s="50"/>
      <c r="C80" s="50"/>
      <c r="D80" s="50"/>
      <c r="E80" s="34">
        <v>46144</v>
      </c>
      <c r="F80" s="35">
        <v>50</v>
      </c>
      <c r="G80" s="35"/>
      <c r="H80" s="35"/>
      <c r="I80" s="35"/>
      <c r="J80" s="35"/>
      <c r="K80" s="50"/>
    </row>
    <row r="81" spans="1:11" ht="10.5" customHeight="1" x14ac:dyDescent="0.25">
      <c r="A81" s="35">
        <v>51</v>
      </c>
      <c r="B81" s="35" t="s">
        <v>173</v>
      </c>
      <c r="C81" s="35">
        <v>36</v>
      </c>
      <c r="D81" s="35">
        <v>0</v>
      </c>
      <c r="E81" s="35"/>
      <c r="F81" s="35"/>
      <c r="G81" s="35"/>
      <c r="H81" s="35"/>
      <c r="I81" s="35"/>
      <c r="J81" s="35"/>
      <c r="K81" s="36" t="s">
        <v>508</v>
      </c>
    </row>
    <row r="82" spans="1:11" ht="10.5" customHeight="1" x14ac:dyDescent="0.25">
      <c r="A82" s="35">
        <v>52</v>
      </c>
      <c r="B82" s="35" t="s">
        <v>175</v>
      </c>
      <c r="C82" s="35">
        <v>34</v>
      </c>
      <c r="D82" s="35">
        <v>0</v>
      </c>
      <c r="E82" s="35"/>
      <c r="F82" s="35"/>
      <c r="G82" s="35"/>
      <c r="H82" s="35"/>
      <c r="I82" s="35"/>
      <c r="J82" s="35"/>
      <c r="K82" s="36" t="s">
        <v>508</v>
      </c>
    </row>
    <row r="83" spans="1:11" ht="10.5" customHeight="1" x14ac:dyDescent="0.25">
      <c r="A83" s="49">
        <v>53</v>
      </c>
      <c r="B83" s="49" t="s">
        <v>153</v>
      </c>
      <c r="C83" s="49">
        <v>167</v>
      </c>
      <c r="D83" s="49">
        <v>67</v>
      </c>
      <c r="E83" s="34">
        <v>46144</v>
      </c>
      <c r="F83" s="35">
        <v>17</v>
      </c>
      <c r="G83" s="35"/>
      <c r="H83" s="35"/>
      <c r="I83" s="35"/>
      <c r="J83" s="35"/>
      <c r="K83" s="49">
        <f>F83+F84</f>
        <v>67</v>
      </c>
    </row>
    <row r="84" spans="1:11" ht="10.5" customHeight="1" x14ac:dyDescent="0.25">
      <c r="A84" s="50"/>
      <c r="B84" s="50"/>
      <c r="C84" s="50"/>
      <c r="D84" s="50"/>
      <c r="E84" s="34">
        <v>46144</v>
      </c>
      <c r="F84" s="35">
        <v>50</v>
      </c>
      <c r="G84" s="35"/>
      <c r="H84" s="35"/>
      <c r="I84" s="35"/>
      <c r="J84" s="35"/>
      <c r="K84" s="50"/>
    </row>
    <row r="85" spans="1:11" ht="10.5" customHeight="1" x14ac:dyDescent="0.25">
      <c r="A85" s="35">
        <v>54</v>
      </c>
      <c r="B85" s="35" t="s">
        <v>155</v>
      </c>
      <c r="C85" s="35">
        <v>6</v>
      </c>
      <c r="D85" s="35">
        <v>50</v>
      </c>
      <c r="E85" s="34">
        <v>46144</v>
      </c>
      <c r="F85" s="35">
        <v>11</v>
      </c>
      <c r="G85" s="35"/>
      <c r="H85" s="35"/>
      <c r="I85" s="35"/>
      <c r="J85" s="35"/>
      <c r="K85" s="35">
        <v>11</v>
      </c>
    </row>
    <row r="86" spans="1:11" ht="10.5" customHeight="1" x14ac:dyDescent="0.25">
      <c r="A86" s="35">
        <v>55</v>
      </c>
      <c r="B86" s="35" t="s">
        <v>159</v>
      </c>
      <c r="C86" s="35">
        <v>26</v>
      </c>
      <c r="D86" s="35">
        <v>0</v>
      </c>
      <c r="E86" s="35" t="s">
        <v>511</v>
      </c>
      <c r="F86" s="35">
        <v>30</v>
      </c>
      <c r="G86" s="35"/>
      <c r="H86" s="35"/>
      <c r="I86" s="35"/>
      <c r="J86" s="35"/>
      <c r="K86" s="35">
        <v>30</v>
      </c>
    </row>
    <row r="87" spans="1:11" ht="10.5" customHeight="1" x14ac:dyDescent="0.25">
      <c r="A87" s="35">
        <v>56</v>
      </c>
      <c r="B87" s="35" t="s">
        <v>185</v>
      </c>
      <c r="C87" s="35">
        <v>48</v>
      </c>
      <c r="D87" s="35">
        <v>30</v>
      </c>
      <c r="E87" s="34">
        <v>46144</v>
      </c>
      <c r="F87" s="35">
        <v>30</v>
      </c>
      <c r="G87" s="35"/>
      <c r="H87" s="35"/>
      <c r="I87" s="35"/>
      <c r="J87" s="35"/>
      <c r="K87" s="35">
        <v>30</v>
      </c>
    </row>
    <row r="88" spans="1:11" ht="10.5" customHeight="1" x14ac:dyDescent="0.25">
      <c r="A88" s="35">
        <v>57</v>
      </c>
      <c r="B88" s="35" t="s">
        <v>187</v>
      </c>
      <c r="C88" s="35">
        <v>20</v>
      </c>
      <c r="D88" s="35">
        <v>30</v>
      </c>
      <c r="E88" s="34">
        <v>46144</v>
      </c>
      <c r="F88" s="35">
        <v>30</v>
      </c>
      <c r="G88" s="35"/>
      <c r="H88" s="35"/>
      <c r="I88" s="35"/>
      <c r="J88" s="35"/>
      <c r="K88" s="35">
        <v>30</v>
      </c>
    </row>
    <row r="89" spans="1:11" ht="10.5" customHeight="1" x14ac:dyDescent="0.25">
      <c r="A89" s="35">
        <v>58</v>
      </c>
      <c r="B89" s="37" t="s">
        <v>205</v>
      </c>
      <c r="C89" s="35">
        <v>24</v>
      </c>
      <c r="D89" s="35">
        <v>30</v>
      </c>
      <c r="E89" s="34">
        <v>46144</v>
      </c>
      <c r="F89" s="35">
        <v>30</v>
      </c>
      <c r="G89" s="35"/>
      <c r="H89" s="35"/>
      <c r="I89" s="35"/>
      <c r="J89" s="35"/>
      <c r="K89" s="35">
        <v>30</v>
      </c>
    </row>
    <row r="90" spans="1:11" ht="10.5" customHeight="1" x14ac:dyDescent="0.25">
      <c r="A90" s="49">
        <v>59</v>
      </c>
      <c r="B90" s="55" t="s">
        <v>207</v>
      </c>
      <c r="C90" s="49">
        <v>37</v>
      </c>
      <c r="D90" s="49">
        <v>30</v>
      </c>
      <c r="E90" s="34">
        <v>46144</v>
      </c>
      <c r="F90" s="35">
        <v>30</v>
      </c>
      <c r="G90" s="35"/>
      <c r="H90" s="35"/>
      <c r="I90" s="35"/>
      <c r="J90" s="35"/>
      <c r="K90" s="49">
        <f>F90+F91</f>
        <v>60</v>
      </c>
    </row>
    <row r="91" spans="1:11" ht="10.5" customHeight="1" x14ac:dyDescent="0.25">
      <c r="A91" s="50"/>
      <c r="B91" s="56"/>
      <c r="C91" s="50"/>
      <c r="D91" s="50"/>
      <c r="E91" s="34">
        <v>46144</v>
      </c>
      <c r="F91" s="35">
        <v>30</v>
      </c>
      <c r="G91" s="35"/>
      <c r="H91" s="35"/>
      <c r="I91" s="35"/>
      <c r="J91" s="35"/>
      <c r="K91" s="50"/>
    </row>
    <row r="92" spans="1:11" ht="10.5" customHeight="1" x14ac:dyDescent="0.25">
      <c r="A92" s="35">
        <v>60</v>
      </c>
      <c r="B92" s="37" t="s">
        <v>276</v>
      </c>
      <c r="C92" s="35">
        <v>70</v>
      </c>
      <c r="D92" s="35">
        <v>30</v>
      </c>
      <c r="E92" s="34">
        <v>46144</v>
      </c>
      <c r="F92" s="35">
        <v>30</v>
      </c>
      <c r="G92" s="35"/>
      <c r="H92" s="35"/>
      <c r="I92" s="35"/>
      <c r="J92" s="35"/>
      <c r="K92" s="35">
        <v>30</v>
      </c>
    </row>
    <row r="93" spans="1:11" ht="10.5" customHeight="1" x14ac:dyDescent="0.25">
      <c r="A93" s="49">
        <v>61</v>
      </c>
      <c r="B93" s="55" t="s">
        <v>277</v>
      </c>
      <c r="C93" s="49">
        <v>41</v>
      </c>
      <c r="D93" s="49">
        <v>50</v>
      </c>
      <c r="E93" s="34">
        <v>46144</v>
      </c>
      <c r="F93" s="35">
        <v>20</v>
      </c>
      <c r="G93" s="35"/>
      <c r="H93" s="35"/>
      <c r="I93" s="35"/>
      <c r="J93" s="35"/>
      <c r="K93" s="49">
        <f>F93+F94</f>
        <v>50</v>
      </c>
    </row>
    <row r="94" spans="1:11" ht="10.5" customHeight="1" x14ac:dyDescent="0.25">
      <c r="A94" s="50"/>
      <c r="B94" s="56"/>
      <c r="C94" s="50"/>
      <c r="D94" s="50"/>
      <c r="E94" s="34">
        <v>46144</v>
      </c>
      <c r="F94" s="35">
        <v>30</v>
      </c>
      <c r="G94" s="35"/>
      <c r="H94" s="35"/>
      <c r="I94" s="35"/>
      <c r="J94" s="35"/>
      <c r="K94" s="50"/>
    </row>
    <row r="95" spans="1:11" ht="10.5" customHeight="1" x14ac:dyDescent="0.25">
      <c r="A95" s="35">
        <v>62</v>
      </c>
      <c r="B95" s="37" t="s">
        <v>278</v>
      </c>
      <c r="C95" s="35">
        <v>31</v>
      </c>
      <c r="D95" s="35">
        <v>20</v>
      </c>
      <c r="E95" s="34">
        <v>46144</v>
      </c>
      <c r="F95" s="35">
        <v>20</v>
      </c>
      <c r="G95" s="35"/>
      <c r="H95" s="35"/>
      <c r="I95" s="35"/>
      <c r="J95" s="35"/>
      <c r="K95" s="35">
        <v>20</v>
      </c>
    </row>
    <row r="96" spans="1:11" ht="10.5" customHeight="1" x14ac:dyDescent="0.25">
      <c r="A96" s="49">
        <v>63</v>
      </c>
      <c r="B96" s="55" t="s">
        <v>279</v>
      </c>
      <c r="C96" s="49">
        <v>24</v>
      </c>
      <c r="D96" s="49">
        <v>30</v>
      </c>
      <c r="E96" s="34">
        <v>46144</v>
      </c>
      <c r="F96" s="35">
        <v>10</v>
      </c>
      <c r="G96" s="35"/>
      <c r="H96" s="35"/>
      <c r="I96" s="35"/>
      <c r="J96" s="35"/>
      <c r="K96" s="49">
        <f>F96+F97</f>
        <v>30</v>
      </c>
    </row>
    <row r="97" spans="1:11" ht="10.5" customHeight="1" x14ac:dyDescent="0.25">
      <c r="A97" s="50"/>
      <c r="B97" s="56"/>
      <c r="C97" s="50"/>
      <c r="D97" s="50"/>
      <c r="E97" s="34">
        <v>46144</v>
      </c>
      <c r="F97" s="35">
        <v>20</v>
      </c>
      <c r="G97" s="35"/>
      <c r="H97" s="35"/>
      <c r="I97" s="35"/>
      <c r="J97" s="35"/>
      <c r="K97" s="50"/>
    </row>
    <row r="98" spans="1:11" ht="10.5" customHeight="1" x14ac:dyDescent="0.25">
      <c r="A98" s="35">
        <v>64</v>
      </c>
      <c r="B98" s="37" t="s">
        <v>280</v>
      </c>
      <c r="C98" s="35">
        <v>13</v>
      </c>
      <c r="D98" s="35">
        <v>0</v>
      </c>
      <c r="E98" s="35"/>
      <c r="F98" s="35"/>
      <c r="G98" s="35"/>
      <c r="H98" s="35"/>
      <c r="I98" s="35"/>
      <c r="J98" s="35"/>
      <c r="K98" s="36" t="s">
        <v>508</v>
      </c>
    </row>
    <row r="99" spans="1:11" ht="10.5" customHeight="1" x14ac:dyDescent="0.25">
      <c r="A99" s="35">
        <v>65</v>
      </c>
      <c r="B99" s="37" t="s">
        <v>281</v>
      </c>
      <c r="C99" s="35">
        <v>11</v>
      </c>
      <c r="D99" s="35">
        <v>0</v>
      </c>
      <c r="E99" s="35"/>
      <c r="F99" s="35"/>
      <c r="G99" s="35"/>
      <c r="H99" s="35"/>
      <c r="I99" s="35"/>
      <c r="J99" s="35"/>
      <c r="K99" s="36" t="s">
        <v>508</v>
      </c>
    </row>
    <row r="100" spans="1:11" ht="10.5" customHeight="1" x14ac:dyDescent="0.25">
      <c r="A100" s="49">
        <v>66</v>
      </c>
      <c r="B100" s="55" t="s">
        <v>282</v>
      </c>
      <c r="C100" s="49">
        <v>37</v>
      </c>
      <c r="D100" s="49">
        <v>50</v>
      </c>
      <c r="E100" s="34">
        <v>46144</v>
      </c>
      <c r="F100" s="35">
        <v>20</v>
      </c>
      <c r="G100" s="35"/>
      <c r="H100" s="35"/>
      <c r="I100" s="35"/>
      <c r="J100" s="35"/>
      <c r="K100" s="49">
        <f>F100+F101</f>
        <v>50</v>
      </c>
    </row>
    <row r="101" spans="1:11" ht="10.5" customHeight="1" x14ac:dyDescent="0.25">
      <c r="A101" s="50"/>
      <c r="B101" s="56"/>
      <c r="C101" s="50"/>
      <c r="D101" s="50"/>
      <c r="E101" s="34">
        <v>46144</v>
      </c>
      <c r="F101" s="35">
        <v>30</v>
      </c>
      <c r="G101" s="35"/>
      <c r="H101" s="35"/>
      <c r="I101" s="35"/>
      <c r="J101" s="35"/>
      <c r="K101" s="50"/>
    </row>
    <row r="102" spans="1:11" ht="10.5" customHeight="1" x14ac:dyDescent="0.25">
      <c r="A102" s="35">
        <v>67</v>
      </c>
      <c r="B102" s="37" t="s">
        <v>283</v>
      </c>
      <c r="C102" s="35">
        <v>2</v>
      </c>
      <c r="D102" s="35">
        <v>30</v>
      </c>
      <c r="E102" s="34">
        <v>46144</v>
      </c>
      <c r="F102" s="35">
        <v>15</v>
      </c>
      <c r="G102" s="35"/>
      <c r="H102" s="35"/>
      <c r="I102" s="35"/>
      <c r="J102" s="35"/>
      <c r="K102" s="35">
        <v>15</v>
      </c>
    </row>
    <row r="103" spans="1:11" ht="10.5" customHeight="1" x14ac:dyDescent="0.25">
      <c r="A103" s="35">
        <v>68</v>
      </c>
      <c r="B103" s="37" t="s">
        <v>284</v>
      </c>
      <c r="C103" s="35">
        <v>27</v>
      </c>
      <c r="D103" s="35">
        <v>20</v>
      </c>
      <c r="E103" s="34">
        <v>46144</v>
      </c>
      <c r="F103" s="35">
        <v>20</v>
      </c>
      <c r="G103" s="35"/>
      <c r="H103" s="35"/>
      <c r="I103" s="35"/>
      <c r="J103" s="35"/>
      <c r="K103" s="35">
        <v>20</v>
      </c>
    </row>
    <row r="104" spans="1:11" ht="10.5" customHeight="1" x14ac:dyDescent="0.25">
      <c r="A104" s="35">
        <v>69</v>
      </c>
      <c r="B104" s="37" t="s">
        <v>285</v>
      </c>
      <c r="C104" s="35">
        <v>9</v>
      </c>
      <c r="D104" s="35">
        <v>20</v>
      </c>
      <c r="E104" s="34">
        <v>46144</v>
      </c>
      <c r="F104" s="35">
        <v>20</v>
      </c>
      <c r="G104" s="35"/>
      <c r="H104" s="35"/>
      <c r="I104" s="35"/>
      <c r="J104" s="35"/>
      <c r="K104" s="35">
        <v>20</v>
      </c>
    </row>
    <row r="105" spans="1:11" ht="10.5" customHeight="1" x14ac:dyDescent="0.25">
      <c r="A105" s="35">
        <v>70</v>
      </c>
      <c r="B105" s="37" t="s">
        <v>292</v>
      </c>
      <c r="C105" s="35">
        <v>10</v>
      </c>
      <c r="D105" s="35">
        <v>30</v>
      </c>
      <c r="E105" s="34">
        <v>46144</v>
      </c>
      <c r="F105" s="35">
        <v>20</v>
      </c>
      <c r="G105" s="35"/>
      <c r="H105" s="35"/>
      <c r="I105" s="35"/>
      <c r="J105" s="35"/>
      <c r="K105" s="35">
        <v>20</v>
      </c>
    </row>
    <row r="106" spans="1:11" ht="10.5" customHeight="1" x14ac:dyDescent="0.25">
      <c r="A106" s="35">
        <v>71</v>
      </c>
      <c r="B106" s="37" t="s">
        <v>293</v>
      </c>
      <c r="C106" s="35">
        <v>23</v>
      </c>
      <c r="D106" s="35">
        <v>20</v>
      </c>
      <c r="E106" s="34">
        <v>46144</v>
      </c>
      <c r="F106" s="35">
        <v>20</v>
      </c>
      <c r="G106" s="35"/>
      <c r="H106" s="35"/>
      <c r="I106" s="35"/>
      <c r="J106" s="35"/>
      <c r="K106" s="35">
        <v>20</v>
      </c>
    </row>
    <row r="107" spans="1:11" ht="10.5" customHeight="1" x14ac:dyDescent="0.25">
      <c r="A107" s="49">
        <v>72</v>
      </c>
      <c r="B107" s="53" t="s">
        <v>125</v>
      </c>
      <c r="C107" s="49">
        <v>159</v>
      </c>
      <c r="D107" s="49">
        <v>200</v>
      </c>
      <c r="E107" s="34">
        <v>46144</v>
      </c>
      <c r="F107" s="35">
        <v>100</v>
      </c>
      <c r="G107" s="35"/>
      <c r="H107" s="35"/>
      <c r="I107" s="35"/>
      <c r="J107" s="35"/>
      <c r="K107" s="49">
        <f>F107+F108</f>
        <v>200</v>
      </c>
    </row>
    <row r="108" spans="1:11" ht="10.5" customHeight="1" x14ac:dyDescent="0.25">
      <c r="A108" s="50"/>
      <c r="B108" s="54"/>
      <c r="C108" s="50"/>
      <c r="D108" s="50"/>
      <c r="E108" s="34">
        <v>46144</v>
      </c>
      <c r="F108" s="35">
        <v>100</v>
      </c>
      <c r="G108" s="35"/>
      <c r="H108" s="35"/>
      <c r="I108" s="35"/>
      <c r="J108" s="35"/>
      <c r="K108" s="50"/>
    </row>
    <row r="109" spans="1:11" ht="10.5" customHeight="1" x14ac:dyDescent="0.25">
      <c r="A109" s="35">
        <v>73</v>
      </c>
      <c r="B109" s="38" t="s">
        <v>127</v>
      </c>
      <c r="C109" s="35">
        <v>39</v>
      </c>
      <c r="D109" s="35">
        <v>50</v>
      </c>
      <c r="E109" s="34">
        <v>46144</v>
      </c>
      <c r="F109" s="35">
        <v>50</v>
      </c>
      <c r="G109" s="35"/>
      <c r="H109" s="35"/>
      <c r="I109" s="35"/>
      <c r="J109" s="35"/>
      <c r="K109" s="35">
        <v>50</v>
      </c>
    </row>
    <row r="110" spans="1:11" ht="10.5" customHeight="1" x14ac:dyDescent="0.25">
      <c r="A110" s="35">
        <v>74</v>
      </c>
      <c r="B110" s="38" t="s">
        <v>121</v>
      </c>
      <c r="C110" s="35">
        <v>75</v>
      </c>
      <c r="D110" s="35">
        <v>100</v>
      </c>
      <c r="E110" s="34">
        <v>46144</v>
      </c>
      <c r="F110" s="35">
        <v>100</v>
      </c>
      <c r="G110" s="35"/>
      <c r="H110" s="35"/>
      <c r="I110" s="35"/>
      <c r="J110" s="35"/>
      <c r="K110" s="35">
        <v>100</v>
      </c>
    </row>
    <row r="111" spans="1:11" ht="10.5" customHeight="1" x14ac:dyDescent="0.25">
      <c r="A111" s="35">
        <v>75</v>
      </c>
      <c r="B111" s="38" t="s">
        <v>129</v>
      </c>
      <c r="C111" s="35">
        <v>11</v>
      </c>
      <c r="D111" s="35">
        <v>30</v>
      </c>
      <c r="E111" s="34">
        <v>46144</v>
      </c>
      <c r="F111" s="35">
        <v>30</v>
      </c>
      <c r="G111" s="35"/>
      <c r="H111" s="35"/>
      <c r="I111" s="35"/>
      <c r="J111" s="35"/>
      <c r="K111" s="35">
        <v>30</v>
      </c>
    </row>
    <row r="112" spans="1:11" ht="10.5" customHeight="1" x14ac:dyDescent="0.25">
      <c r="A112" s="49">
        <v>76</v>
      </c>
      <c r="B112" s="53" t="s">
        <v>85</v>
      </c>
      <c r="C112" s="49">
        <v>95</v>
      </c>
      <c r="D112" s="49">
        <v>114</v>
      </c>
      <c r="E112" s="34">
        <v>46144</v>
      </c>
      <c r="F112" s="35">
        <v>64</v>
      </c>
      <c r="G112" s="35"/>
      <c r="H112" s="35"/>
      <c r="I112" s="35"/>
      <c r="J112" s="35"/>
      <c r="K112" s="49">
        <f>F112+F113</f>
        <v>114</v>
      </c>
    </row>
    <row r="113" spans="1:11" ht="10.5" customHeight="1" x14ac:dyDescent="0.25">
      <c r="A113" s="50"/>
      <c r="B113" s="54"/>
      <c r="C113" s="50"/>
      <c r="D113" s="50"/>
      <c r="E113" s="34">
        <v>46144</v>
      </c>
      <c r="F113" s="35">
        <v>50</v>
      </c>
      <c r="G113" s="35"/>
      <c r="H113" s="35"/>
      <c r="I113" s="35"/>
      <c r="J113" s="35"/>
      <c r="K113" s="50"/>
    </row>
    <row r="114" spans="1:11" ht="10.5" customHeight="1" x14ac:dyDescent="0.25">
      <c r="A114" s="49">
        <v>77</v>
      </c>
      <c r="B114" s="53" t="s">
        <v>87</v>
      </c>
      <c r="C114" s="49">
        <v>61</v>
      </c>
      <c r="D114" s="49">
        <v>98</v>
      </c>
      <c r="E114" s="34">
        <v>46144</v>
      </c>
      <c r="F114" s="35">
        <v>48</v>
      </c>
      <c r="G114" s="35"/>
      <c r="H114" s="35"/>
      <c r="I114" s="35"/>
      <c r="J114" s="35"/>
      <c r="K114" s="49">
        <f>F114+F115</f>
        <v>98</v>
      </c>
    </row>
    <row r="115" spans="1:11" ht="10.5" customHeight="1" x14ac:dyDescent="0.25">
      <c r="A115" s="50"/>
      <c r="B115" s="54"/>
      <c r="C115" s="50"/>
      <c r="D115" s="50"/>
      <c r="E115" s="34">
        <v>46144</v>
      </c>
      <c r="F115" s="35">
        <v>50</v>
      </c>
      <c r="G115" s="35"/>
      <c r="H115" s="35"/>
      <c r="I115" s="35"/>
      <c r="J115" s="35"/>
      <c r="K115" s="50"/>
    </row>
    <row r="116" spans="1:11" ht="10.5" customHeight="1" x14ac:dyDescent="0.25">
      <c r="A116" s="35">
        <v>78</v>
      </c>
      <c r="B116" s="38" t="s">
        <v>105</v>
      </c>
      <c r="C116" s="35">
        <v>124</v>
      </c>
      <c r="D116" s="35">
        <v>30</v>
      </c>
      <c r="E116" s="34">
        <v>46144</v>
      </c>
      <c r="F116" s="35">
        <v>30</v>
      </c>
      <c r="G116" s="35"/>
      <c r="H116" s="35"/>
      <c r="I116" s="35"/>
      <c r="J116" s="35"/>
      <c r="K116" s="35">
        <v>30</v>
      </c>
    </row>
    <row r="117" spans="1:11" ht="10.5" customHeight="1" x14ac:dyDescent="0.25">
      <c r="A117" s="49">
        <v>79</v>
      </c>
      <c r="B117" s="53" t="s">
        <v>107</v>
      </c>
      <c r="C117" s="49">
        <v>106</v>
      </c>
      <c r="D117" s="49">
        <v>33</v>
      </c>
      <c r="E117" s="34">
        <v>46144</v>
      </c>
      <c r="F117" s="35">
        <v>3</v>
      </c>
      <c r="G117" s="35"/>
      <c r="H117" s="35"/>
      <c r="I117" s="35"/>
      <c r="J117" s="35"/>
      <c r="K117" s="49">
        <f>F117+F118</f>
        <v>33</v>
      </c>
    </row>
    <row r="118" spans="1:11" ht="10.5" customHeight="1" x14ac:dyDescent="0.25">
      <c r="A118" s="50"/>
      <c r="B118" s="54"/>
      <c r="C118" s="50"/>
      <c r="D118" s="50"/>
      <c r="E118" s="34">
        <v>46144</v>
      </c>
      <c r="F118" s="35">
        <v>30</v>
      </c>
      <c r="G118" s="35"/>
      <c r="H118" s="35"/>
      <c r="I118" s="35"/>
      <c r="J118" s="35"/>
      <c r="K118" s="50"/>
    </row>
    <row r="119" spans="1:11" ht="10.5" customHeight="1" x14ac:dyDescent="0.25">
      <c r="A119" s="35">
        <v>80</v>
      </c>
      <c r="B119" s="35" t="s">
        <v>351</v>
      </c>
      <c r="C119" s="35">
        <v>68</v>
      </c>
      <c r="D119" s="35">
        <v>30</v>
      </c>
      <c r="E119" s="35"/>
      <c r="F119" s="35"/>
      <c r="G119" s="35"/>
      <c r="H119" s="35"/>
      <c r="I119" s="35"/>
      <c r="J119" s="35"/>
      <c r="K119" s="36" t="s">
        <v>508</v>
      </c>
    </row>
    <row r="120" spans="1:11" ht="10.5" customHeight="1" x14ac:dyDescent="0.25">
      <c r="A120" s="35">
        <v>81</v>
      </c>
      <c r="B120" s="35" t="s">
        <v>512</v>
      </c>
      <c r="C120" s="35">
        <v>43</v>
      </c>
      <c r="D120" s="35">
        <v>20</v>
      </c>
      <c r="E120" s="34">
        <v>46144</v>
      </c>
      <c r="F120" s="35">
        <v>20</v>
      </c>
      <c r="G120" s="35"/>
      <c r="H120" s="35"/>
      <c r="I120" s="35"/>
      <c r="J120" s="35"/>
      <c r="K120" s="35">
        <v>20</v>
      </c>
    </row>
    <row r="121" spans="1:11" ht="10.5" customHeight="1" x14ac:dyDescent="0.25">
      <c r="A121" s="49">
        <v>82</v>
      </c>
      <c r="B121" s="49" t="s">
        <v>354</v>
      </c>
      <c r="C121" s="49">
        <v>49</v>
      </c>
      <c r="D121" s="49">
        <v>50</v>
      </c>
      <c r="E121" s="34">
        <v>46144</v>
      </c>
      <c r="F121" s="35">
        <v>30</v>
      </c>
      <c r="G121" s="35"/>
      <c r="H121" s="35"/>
      <c r="I121" s="35"/>
      <c r="J121" s="35"/>
      <c r="K121" s="49">
        <f>F121+F122</f>
        <v>50</v>
      </c>
    </row>
    <row r="122" spans="1:11" ht="10.5" customHeight="1" x14ac:dyDescent="0.25">
      <c r="A122" s="50"/>
      <c r="B122" s="50"/>
      <c r="C122" s="50"/>
      <c r="D122" s="50"/>
      <c r="E122" s="34">
        <v>46144</v>
      </c>
      <c r="F122" s="35">
        <v>20</v>
      </c>
      <c r="G122" s="35"/>
      <c r="H122" s="35"/>
      <c r="I122" s="35"/>
      <c r="J122" s="35"/>
      <c r="K122" s="50"/>
    </row>
    <row r="123" spans="1:11" ht="10.5" customHeight="1" x14ac:dyDescent="0.25">
      <c r="A123" s="35">
        <v>83</v>
      </c>
      <c r="B123" s="35" t="s">
        <v>357</v>
      </c>
      <c r="C123" s="35">
        <v>84</v>
      </c>
      <c r="D123" s="35">
        <v>20</v>
      </c>
      <c r="E123" s="34">
        <v>46144</v>
      </c>
      <c r="F123" s="35">
        <v>20</v>
      </c>
      <c r="G123" s="35"/>
      <c r="H123" s="35"/>
      <c r="I123" s="35"/>
      <c r="J123" s="35"/>
      <c r="K123" s="35">
        <v>20</v>
      </c>
    </row>
    <row r="124" spans="1:11" ht="10.5" customHeight="1" x14ac:dyDescent="0.25">
      <c r="A124" s="35">
        <v>84</v>
      </c>
      <c r="B124" s="35" t="s">
        <v>358</v>
      </c>
      <c r="C124" s="35">
        <v>25</v>
      </c>
      <c r="D124" s="35">
        <v>20</v>
      </c>
      <c r="E124" s="34">
        <v>46144</v>
      </c>
      <c r="F124" s="35">
        <v>20</v>
      </c>
      <c r="G124" s="35"/>
      <c r="H124" s="35"/>
      <c r="I124" s="35"/>
      <c r="J124" s="35"/>
      <c r="K124" s="35">
        <v>20</v>
      </c>
    </row>
    <row r="125" spans="1:11" ht="10.5" customHeight="1" x14ac:dyDescent="0.25">
      <c r="A125" s="35">
        <v>85</v>
      </c>
      <c r="B125" s="35" t="s">
        <v>359</v>
      </c>
      <c r="C125" s="35">
        <v>92</v>
      </c>
      <c r="D125" s="35">
        <v>40</v>
      </c>
      <c r="E125" s="34">
        <v>46144</v>
      </c>
      <c r="F125" s="35">
        <v>40</v>
      </c>
      <c r="G125" s="35"/>
      <c r="H125" s="35"/>
      <c r="I125" s="35"/>
      <c r="J125" s="35"/>
      <c r="K125" s="35">
        <v>40</v>
      </c>
    </row>
    <row r="126" spans="1:11" ht="10.5" customHeight="1" x14ac:dyDescent="0.25">
      <c r="A126" s="35">
        <v>86</v>
      </c>
      <c r="B126" s="35" t="s">
        <v>360</v>
      </c>
      <c r="C126" s="35">
        <v>50</v>
      </c>
      <c r="D126" s="35">
        <v>20</v>
      </c>
      <c r="E126" s="34">
        <v>46144</v>
      </c>
      <c r="F126" s="35">
        <v>20</v>
      </c>
      <c r="G126" s="35"/>
      <c r="H126" s="35"/>
      <c r="I126" s="35"/>
      <c r="J126" s="35"/>
      <c r="K126" s="35">
        <v>20</v>
      </c>
    </row>
    <row r="127" spans="1:11" ht="10.5" customHeight="1" x14ac:dyDescent="0.25">
      <c r="A127" s="49">
        <v>87</v>
      </c>
      <c r="B127" s="49" t="s">
        <v>361</v>
      </c>
      <c r="C127" s="49">
        <v>86</v>
      </c>
      <c r="D127" s="49">
        <v>40</v>
      </c>
      <c r="E127" s="34">
        <v>46144</v>
      </c>
      <c r="F127" s="35">
        <v>20</v>
      </c>
      <c r="G127" s="35"/>
      <c r="H127" s="35"/>
      <c r="I127" s="35"/>
      <c r="J127" s="35"/>
      <c r="K127" s="49">
        <f>F127+F128</f>
        <v>40</v>
      </c>
    </row>
    <row r="128" spans="1:11" ht="10.5" customHeight="1" x14ac:dyDescent="0.25">
      <c r="A128" s="50"/>
      <c r="B128" s="50"/>
      <c r="C128" s="50"/>
      <c r="D128" s="50"/>
      <c r="E128" s="34">
        <v>46144</v>
      </c>
      <c r="F128" s="35">
        <v>20</v>
      </c>
      <c r="G128" s="35"/>
      <c r="H128" s="35"/>
      <c r="I128" s="35"/>
      <c r="J128" s="35"/>
      <c r="K128" s="50"/>
    </row>
    <row r="129" spans="1:11" ht="10.5" customHeight="1" x14ac:dyDescent="0.25">
      <c r="A129" s="35">
        <v>88</v>
      </c>
      <c r="B129" s="35" t="s">
        <v>362</v>
      </c>
      <c r="C129" s="35">
        <v>23</v>
      </c>
      <c r="D129" s="35">
        <v>20</v>
      </c>
      <c r="E129" s="34">
        <v>46144</v>
      </c>
      <c r="F129" s="35">
        <v>20</v>
      </c>
      <c r="G129" s="35"/>
      <c r="H129" s="35"/>
      <c r="I129" s="35"/>
      <c r="J129" s="35"/>
      <c r="K129" s="35">
        <v>20</v>
      </c>
    </row>
    <row r="130" spans="1:11" ht="10.5" customHeight="1" x14ac:dyDescent="0.25">
      <c r="A130" s="35">
        <v>89</v>
      </c>
      <c r="B130" s="35" t="s">
        <v>489</v>
      </c>
      <c r="C130" s="35">
        <v>31</v>
      </c>
      <c r="D130" s="35">
        <v>30</v>
      </c>
      <c r="E130" s="34">
        <v>46144</v>
      </c>
      <c r="F130" s="35">
        <v>30</v>
      </c>
      <c r="G130" s="35"/>
      <c r="H130" s="35"/>
      <c r="I130" s="35"/>
      <c r="J130" s="35"/>
      <c r="K130" s="35">
        <v>30</v>
      </c>
    </row>
    <row r="131" spans="1:11" ht="10.5" customHeight="1" x14ac:dyDescent="0.25">
      <c r="A131" s="35">
        <v>90</v>
      </c>
      <c r="B131" s="35" t="s">
        <v>490</v>
      </c>
      <c r="C131" s="35">
        <v>30</v>
      </c>
      <c r="D131" s="35">
        <v>20</v>
      </c>
      <c r="E131" s="34">
        <v>46144</v>
      </c>
      <c r="F131" s="35">
        <v>20</v>
      </c>
      <c r="G131" s="35"/>
      <c r="H131" s="35"/>
      <c r="I131" s="35"/>
      <c r="J131" s="35"/>
      <c r="K131" s="35">
        <v>20</v>
      </c>
    </row>
    <row r="132" spans="1:11" ht="10.5" customHeight="1" x14ac:dyDescent="0.25">
      <c r="A132" s="35">
        <v>91</v>
      </c>
      <c r="B132" s="35" t="s">
        <v>333</v>
      </c>
      <c r="C132" s="35">
        <v>71</v>
      </c>
      <c r="D132" s="35">
        <v>30</v>
      </c>
      <c r="E132" s="34">
        <v>46144</v>
      </c>
      <c r="F132" s="35">
        <v>30</v>
      </c>
      <c r="G132" s="35"/>
      <c r="H132" s="35"/>
      <c r="I132" s="35"/>
      <c r="J132" s="35"/>
      <c r="K132" s="35">
        <v>30</v>
      </c>
    </row>
    <row r="133" spans="1:11" ht="10.5" customHeight="1" x14ac:dyDescent="0.25">
      <c r="A133" s="49">
        <v>92</v>
      </c>
      <c r="B133" s="49" t="s">
        <v>335</v>
      </c>
      <c r="C133" s="49">
        <v>98</v>
      </c>
      <c r="D133" s="49">
        <v>50</v>
      </c>
      <c r="E133" s="34">
        <v>46144</v>
      </c>
      <c r="F133" s="35">
        <v>30</v>
      </c>
      <c r="G133" s="35"/>
      <c r="H133" s="35"/>
      <c r="I133" s="35"/>
      <c r="J133" s="35"/>
      <c r="K133" s="49">
        <f>F133+F134</f>
        <v>50</v>
      </c>
    </row>
    <row r="134" spans="1:11" ht="10.5" customHeight="1" x14ac:dyDescent="0.25">
      <c r="A134" s="50"/>
      <c r="B134" s="50"/>
      <c r="C134" s="50"/>
      <c r="D134" s="50"/>
      <c r="E134" s="34">
        <v>46144</v>
      </c>
      <c r="F134" s="35">
        <v>20</v>
      </c>
      <c r="G134" s="35"/>
      <c r="H134" s="35"/>
      <c r="I134" s="35"/>
      <c r="J134" s="35"/>
      <c r="K134" s="50"/>
    </row>
    <row r="135" spans="1:11" ht="10.5" customHeight="1" x14ac:dyDescent="0.25">
      <c r="A135" s="49">
        <v>93</v>
      </c>
      <c r="B135" s="49" t="s">
        <v>336</v>
      </c>
      <c r="C135" s="49">
        <v>25</v>
      </c>
      <c r="D135" s="49">
        <v>40</v>
      </c>
      <c r="E135" s="34">
        <v>46144</v>
      </c>
      <c r="F135" s="35">
        <v>20</v>
      </c>
      <c r="G135" s="35"/>
      <c r="H135" s="35"/>
      <c r="I135" s="35"/>
      <c r="J135" s="35"/>
      <c r="K135" s="49">
        <f>F135+F136</f>
        <v>40</v>
      </c>
    </row>
    <row r="136" spans="1:11" ht="10.5" customHeight="1" x14ac:dyDescent="0.25">
      <c r="A136" s="50"/>
      <c r="B136" s="50"/>
      <c r="C136" s="50"/>
      <c r="D136" s="50"/>
      <c r="E136" s="34">
        <v>46144</v>
      </c>
      <c r="F136" s="35">
        <v>20</v>
      </c>
      <c r="G136" s="35"/>
      <c r="H136" s="35"/>
      <c r="I136" s="35"/>
      <c r="J136" s="35"/>
      <c r="K136" s="50"/>
    </row>
    <row r="137" spans="1:11" ht="10.5" customHeight="1" x14ac:dyDescent="0.25">
      <c r="A137" s="35">
        <v>94</v>
      </c>
      <c r="B137" s="35" t="s">
        <v>341</v>
      </c>
      <c r="C137" s="35">
        <v>60</v>
      </c>
      <c r="D137" s="35">
        <v>20</v>
      </c>
      <c r="E137" s="34">
        <v>46144</v>
      </c>
      <c r="F137" s="35">
        <v>20</v>
      </c>
      <c r="G137" s="35"/>
      <c r="H137" s="35"/>
      <c r="I137" s="35"/>
      <c r="J137" s="35"/>
      <c r="K137" s="35">
        <v>20</v>
      </c>
    </row>
    <row r="138" spans="1:11" ht="10.5" customHeight="1" x14ac:dyDescent="0.25">
      <c r="A138" s="49">
        <v>95</v>
      </c>
      <c r="B138" s="49" t="s">
        <v>343</v>
      </c>
      <c r="C138" s="49">
        <v>98</v>
      </c>
      <c r="D138" s="49">
        <v>50</v>
      </c>
      <c r="E138" s="34">
        <v>46144</v>
      </c>
      <c r="F138" s="35">
        <v>30</v>
      </c>
      <c r="G138" s="35"/>
      <c r="H138" s="35"/>
      <c r="I138" s="35"/>
      <c r="J138" s="35"/>
      <c r="K138" s="49">
        <f>F138+F139</f>
        <v>50</v>
      </c>
    </row>
    <row r="139" spans="1:11" ht="10.5" customHeight="1" x14ac:dyDescent="0.25">
      <c r="A139" s="50"/>
      <c r="B139" s="50"/>
      <c r="C139" s="50"/>
      <c r="D139" s="50"/>
      <c r="E139" s="34">
        <v>46144</v>
      </c>
      <c r="F139" s="35">
        <v>20</v>
      </c>
      <c r="G139" s="35"/>
      <c r="H139" s="35"/>
      <c r="I139" s="35"/>
      <c r="J139" s="35"/>
      <c r="K139" s="50"/>
    </row>
    <row r="140" spans="1:11" ht="10.5" customHeight="1" x14ac:dyDescent="0.25">
      <c r="A140" s="49">
        <v>96</v>
      </c>
      <c r="B140" s="49" t="s">
        <v>344</v>
      </c>
      <c r="C140" s="49">
        <v>24</v>
      </c>
      <c r="D140" s="49">
        <v>40</v>
      </c>
      <c r="E140" s="34">
        <v>46144</v>
      </c>
      <c r="F140" s="35">
        <v>20</v>
      </c>
      <c r="G140" s="35"/>
      <c r="H140" s="35"/>
      <c r="I140" s="35"/>
      <c r="J140" s="35"/>
      <c r="K140" s="49">
        <f>F140+F141</f>
        <v>40</v>
      </c>
    </row>
    <row r="141" spans="1:11" ht="10.5" customHeight="1" x14ac:dyDescent="0.25">
      <c r="A141" s="50"/>
      <c r="B141" s="50"/>
      <c r="C141" s="50"/>
      <c r="D141" s="50"/>
      <c r="E141" s="34">
        <v>46144</v>
      </c>
      <c r="F141" s="35">
        <v>20</v>
      </c>
      <c r="G141" s="35"/>
      <c r="H141" s="35"/>
      <c r="I141" s="35"/>
      <c r="J141" s="35"/>
      <c r="K141" s="50"/>
    </row>
    <row r="142" spans="1:11" ht="10.5" customHeight="1" x14ac:dyDescent="0.25">
      <c r="A142" s="49">
        <v>97</v>
      </c>
      <c r="B142" s="49" t="s">
        <v>345</v>
      </c>
      <c r="C142" s="49">
        <v>33</v>
      </c>
      <c r="D142" s="49">
        <v>40</v>
      </c>
      <c r="E142" s="34">
        <v>46144</v>
      </c>
      <c r="F142" s="35">
        <v>20</v>
      </c>
      <c r="G142" s="35"/>
      <c r="H142" s="35"/>
      <c r="I142" s="35"/>
      <c r="J142" s="35"/>
      <c r="K142" s="49">
        <f>F142+F143</f>
        <v>40</v>
      </c>
    </row>
    <row r="143" spans="1:11" ht="10.5" customHeight="1" x14ac:dyDescent="0.25">
      <c r="A143" s="50"/>
      <c r="B143" s="50"/>
      <c r="C143" s="50"/>
      <c r="D143" s="50"/>
      <c r="E143" s="34">
        <v>46144</v>
      </c>
      <c r="F143" s="35">
        <v>20</v>
      </c>
      <c r="G143" s="35"/>
      <c r="H143" s="35"/>
      <c r="I143" s="35"/>
      <c r="J143" s="35"/>
      <c r="K143" s="50"/>
    </row>
    <row r="144" spans="1:11" ht="10.5" customHeight="1" x14ac:dyDescent="0.25">
      <c r="A144" s="35">
        <v>98</v>
      </c>
      <c r="B144" s="35" t="s">
        <v>346</v>
      </c>
      <c r="C144" s="35">
        <v>7</v>
      </c>
      <c r="D144" s="35">
        <v>20</v>
      </c>
      <c r="E144" s="34">
        <v>46144</v>
      </c>
      <c r="F144" s="35">
        <v>20</v>
      </c>
      <c r="G144" s="35"/>
      <c r="H144" s="35"/>
      <c r="I144" s="35"/>
      <c r="J144" s="35"/>
      <c r="K144" s="35">
        <v>20</v>
      </c>
    </row>
    <row r="145" spans="1:11" ht="10.5" customHeight="1" x14ac:dyDescent="0.25">
      <c r="A145" s="49">
        <v>99</v>
      </c>
      <c r="B145" s="49" t="s">
        <v>347</v>
      </c>
      <c r="C145" s="49">
        <v>100</v>
      </c>
      <c r="D145" s="49">
        <v>40</v>
      </c>
      <c r="E145" s="34">
        <v>46144</v>
      </c>
      <c r="F145" s="35">
        <v>20</v>
      </c>
      <c r="G145" s="35"/>
      <c r="H145" s="35"/>
      <c r="I145" s="35"/>
      <c r="J145" s="35"/>
      <c r="K145" s="49">
        <f>F145+F146</f>
        <v>40</v>
      </c>
    </row>
    <row r="146" spans="1:11" ht="10.5" customHeight="1" x14ac:dyDescent="0.25">
      <c r="A146" s="50"/>
      <c r="B146" s="50"/>
      <c r="C146" s="50"/>
      <c r="D146" s="50"/>
      <c r="E146" s="34">
        <v>46144</v>
      </c>
      <c r="F146" s="35">
        <v>20</v>
      </c>
      <c r="G146" s="35"/>
      <c r="H146" s="35"/>
      <c r="I146" s="35"/>
      <c r="J146" s="35"/>
      <c r="K146" s="50"/>
    </row>
    <row r="147" spans="1:11" ht="10.5" customHeight="1" x14ac:dyDescent="0.25">
      <c r="A147" s="35">
        <v>100</v>
      </c>
      <c r="B147" s="35" t="s">
        <v>348</v>
      </c>
      <c r="C147" s="35">
        <v>11</v>
      </c>
      <c r="D147" s="35">
        <v>20</v>
      </c>
      <c r="E147" s="34">
        <v>46144</v>
      </c>
      <c r="F147" s="35">
        <v>20</v>
      </c>
      <c r="G147" s="35"/>
      <c r="H147" s="35"/>
      <c r="I147" s="35"/>
      <c r="J147" s="35"/>
      <c r="K147" s="35">
        <v>20</v>
      </c>
    </row>
    <row r="148" spans="1:11" ht="10.5" customHeight="1" x14ac:dyDescent="0.25">
      <c r="A148" s="49">
        <v>101</v>
      </c>
      <c r="B148" s="49" t="s">
        <v>302</v>
      </c>
      <c r="C148" s="49">
        <v>84</v>
      </c>
      <c r="D148" s="49">
        <v>80</v>
      </c>
      <c r="E148" s="34">
        <v>46144</v>
      </c>
      <c r="F148" s="35">
        <v>50</v>
      </c>
      <c r="G148" s="35"/>
      <c r="H148" s="35"/>
      <c r="I148" s="35"/>
      <c r="J148" s="35"/>
      <c r="K148" s="49">
        <f>F148+F149</f>
        <v>80</v>
      </c>
    </row>
    <row r="149" spans="1:11" ht="10.5" customHeight="1" x14ac:dyDescent="0.25">
      <c r="A149" s="50"/>
      <c r="B149" s="50"/>
      <c r="C149" s="50"/>
      <c r="D149" s="50"/>
      <c r="E149" s="34">
        <v>46144</v>
      </c>
      <c r="F149" s="35">
        <v>30</v>
      </c>
      <c r="G149" s="35"/>
      <c r="H149" s="35"/>
      <c r="I149" s="35"/>
      <c r="J149" s="35"/>
      <c r="K149" s="50"/>
    </row>
    <row r="150" spans="1:11" ht="10.5" customHeight="1" x14ac:dyDescent="0.25">
      <c r="A150" s="49">
        <v>102</v>
      </c>
      <c r="B150" s="49" t="s">
        <v>303</v>
      </c>
      <c r="C150" s="49">
        <v>6</v>
      </c>
      <c r="D150" s="49">
        <v>60</v>
      </c>
      <c r="E150" s="34">
        <v>46144</v>
      </c>
      <c r="F150" s="35">
        <v>30</v>
      </c>
      <c r="G150" s="35"/>
      <c r="H150" s="35"/>
      <c r="I150" s="35"/>
      <c r="J150" s="35"/>
      <c r="K150" s="49">
        <f>F150+F151</f>
        <v>60</v>
      </c>
    </row>
    <row r="151" spans="1:11" ht="10.5" customHeight="1" x14ac:dyDescent="0.25">
      <c r="A151" s="50"/>
      <c r="B151" s="50"/>
      <c r="C151" s="50"/>
      <c r="D151" s="50"/>
      <c r="E151" s="34">
        <v>46144</v>
      </c>
      <c r="F151" s="35">
        <v>30</v>
      </c>
      <c r="G151" s="35"/>
      <c r="H151" s="35"/>
      <c r="I151" s="35"/>
      <c r="J151" s="35"/>
      <c r="K151" s="50"/>
    </row>
    <row r="152" spans="1:11" ht="10.5" customHeight="1" x14ac:dyDescent="0.25">
      <c r="A152" s="49">
        <v>103</v>
      </c>
      <c r="B152" s="49" t="s">
        <v>304</v>
      </c>
      <c r="C152" s="49">
        <v>146</v>
      </c>
      <c r="D152" s="49">
        <v>250</v>
      </c>
      <c r="E152" s="34">
        <v>46144</v>
      </c>
      <c r="F152" s="35">
        <v>50</v>
      </c>
      <c r="G152" s="35"/>
      <c r="H152" s="35"/>
      <c r="I152" s="35"/>
      <c r="J152" s="35"/>
      <c r="K152" s="49">
        <f>F152+F153</f>
        <v>250</v>
      </c>
    </row>
    <row r="153" spans="1:11" ht="10.5" customHeight="1" x14ac:dyDescent="0.25">
      <c r="A153" s="50"/>
      <c r="B153" s="50"/>
      <c r="C153" s="50"/>
      <c r="D153" s="50"/>
      <c r="E153" s="34">
        <v>46144</v>
      </c>
      <c r="F153" s="35">
        <v>200</v>
      </c>
      <c r="G153" s="35"/>
      <c r="H153" s="35"/>
      <c r="I153" s="35"/>
      <c r="J153" s="35"/>
      <c r="K153" s="50"/>
    </row>
    <row r="154" spans="1:11" ht="10.5" customHeight="1" x14ac:dyDescent="0.25">
      <c r="A154" s="49">
        <v>104</v>
      </c>
      <c r="B154" s="49" t="s">
        <v>305</v>
      </c>
      <c r="C154" s="49">
        <v>49</v>
      </c>
      <c r="D154" s="49">
        <v>250</v>
      </c>
      <c r="E154" s="34">
        <v>46144</v>
      </c>
      <c r="F154" s="35">
        <v>200</v>
      </c>
      <c r="G154" s="35"/>
      <c r="H154" s="35"/>
      <c r="I154" s="35"/>
      <c r="J154" s="35"/>
      <c r="K154" s="49">
        <f>F154+F155</f>
        <v>250</v>
      </c>
    </row>
    <row r="155" spans="1:11" ht="10.5" customHeight="1" x14ac:dyDescent="0.25">
      <c r="A155" s="50"/>
      <c r="B155" s="50"/>
      <c r="C155" s="50"/>
      <c r="D155" s="50"/>
      <c r="E155" s="34">
        <v>46144</v>
      </c>
      <c r="F155" s="35">
        <v>50</v>
      </c>
      <c r="G155" s="35"/>
      <c r="H155" s="35"/>
      <c r="I155" s="35"/>
      <c r="J155" s="35"/>
      <c r="K155" s="50"/>
    </row>
    <row r="156" spans="1:11" ht="10.5" customHeight="1" x14ac:dyDescent="0.25">
      <c r="A156" s="49">
        <v>105</v>
      </c>
      <c r="B156" s="49" t="s">
        <v>308</v>
      </c>
      <c r="C156" s="49">
        <v>35</v>
      </c>
      <c r="D156" s="49">
        <v>80</v>
      </c>
      <c r="E156" s="34">
        <v>46144</v>
      </c>
      <c r="F156" s="35">
        <v>30</v>
      </c>
      <c r="G156" s="35"/>
      <c r="H156" s="35"/>
      <c r="I156" s="35"/>
      <c r="J156" s="35"/>
      <c r="K156" s="49">
        <f>F156+F157</f>
        <v>80</v>
      </c>
    </row>
    <row r="157" spans="1:11" ht="10.5" customHeight="1" x14ac:dyDescent="0.25">
      <c r="A157" s="50"/>
      <c r="B157" s="50"/>
      <c r="C157" s="50"/>
      <c r="D157" s="50"/>
      <c r="E157" s="34">
        <v>46144</v>
      </c>
      <c r="F157" s="35">
        <v>50</v>
      </c>
      <c r="G157" s="35"/>
      <c r="H157" s="35"/>
      <c r="I157" s="35"/>
      <c r="J157" s="35"/>
      <c r="K157" s="50"/>
    </row>
    <row r="158" spans="1:11" ht="10.5" customHeight="1" x14ac:dyDescent="0.25">
      <c r="A158" s="49">
        <v>106</v>
      </c>
      <c r="B158" s="49" t="s">
        <v>309</v>
      </c>
      <c r="C158" s="49">
        <v>43</v>
      </c>
      <c r="D158" s="49">
        <v>70</v>
      </c>
      <c r="E158" s="34">
        <v>46144</v>
      </c>
      <c r="F158" s="35">
        <v>20</v>
      </c>
      <c r="G158" s="35"/>
      <c r="H158" s="35"/>
      <c r="I158" s="35"/>
      <c r="J158" s="35"/>
      <c r="K158" s="49">
        <f>F158+F159</f>
        <v>70</v>
      </c>
    </row>
    <row r="159" spans="1:11" ht="10.5" customHeight="1" x14ac:dyDescent="0.25">
      <c r="A159" s="50"/>
      <c r="B159" s="50"/>
      <c r="C159" s="50"/>
      <c r="D159" s="50"/>
      <c r="E159" s="34">
        <v>46144</v>
      </c>
      <c r="F159" s="35">
        <v>50</v>
      </c>
      <c r="G159" s="35"/>
      <c r="H159" s="35"/>
      <c r="I159" s="35"/>
      <c r="J159" s="35"/>
      <c r="K159" s="50"/>
    </row>
    <row r="160" spans="1:11" ht="10.5" customHeight="1" x14ac:dyDescent="0.25">
      <c r="A160" s="49">
        <v>107</v>
      </c>
      <c r="B160" s="49" t="s">
        <v>314</v>
      </c>
      <c r="C160" s="49">
        <v>105</v>
      </c>
      <c r="D160" s="49">
        <v>200</v>
      </c>
      <c r="E160" s="34">
        <v>46144</v>
      </c>
      <c r="F160" s="35">
        <v>200</v>
      </c>
      <c r="G160" s="35"/>
      <c r="H160" s="35"/>
      <c r="I160" s="35"/>
      <c r="J160" s="35"/>
      <c r="K160" s="49">
        <f>F160+F161</f>
        <v>250</v>
      </c>
    </row>
    <row r="161" spans="1:11" ht="10.5" customHeight="1" x14ac:dyDescent="0.25">
      <c r="A161" s="50"/>
      <c r="B161" s="50"/>
      <c r="C161" s="50"/>
      <c r="D161" s="50"/>
      <c r="E161" s="34">
        <v>46144</v>
      </c>
      <c r="F161" s="35">
        <v>50</v>
      </c>
      <c r="G161" s="35"/>
      <c r="H161" s="35"/>
      <c r="I161" s="35"/>
      <c r="J161" s="35"/>
      <c r="K161" s="50"/>
    </row>
    <row r="162" spans="1:11" ht="10.5" customHeight="1" x14ac:dyDescent="0.25">
      <c r="A162" s="49">
        <v>108</v>
      </c>
      <c r="B162" s="49" t="s">
        <v>318</v>
      </c>
      <c r="C162" s="49">
        <v>104</v>
      </c>
      <c r="D162" s="49">
        <v>50</v>
      </c>
      <c r="E162" s="34">
        <v>46144</v>
      </c>
      <c r="F162" s="35">
        <v>80</v>
      </c>
      <c r="G162" s="35"/>
      <c r="H162" s="35"/>
      <c r="I162" s="35"/>
      <c r="J162" s="35"/>
      <c r="K162" s="49">
        <f>F162+F163+F164</f>
        <v>160</v>
      </c>
    </row>
    <row r="163" spans="1:11" ht="10.5" customHeight="1" x14ac:dyDescent="0.25">
      <c r="A163" s="57"/>
      <c r="B163" s="57"/>
      <c r="C163" s="57"/>
      <c r="D163" s="57"/>
      <c r="E163" s="34">
        <v>46144</v>
      </c>
      <c r="F163" s="35">
        <v>30</v>
      </c>
      <c r="G163" s="35"/>
      <c r="H163" s="35"/>
      <c r="I163" s="35"/>
      <c r="J163" s="35"/>
      <c r="K163" s="57"/>
    </row>
    <row r="164" spans="1:11" ht="10.5" customHeight="1" x14ac:dyDescent="0.25">
      <c r="A164" s="50"/>
      <c r="B164" s="50"/>
      <c r="C164" s="50"/>
      <c r="D164" s="50"/>
      <c r="E164" s="34">
        <v>46144</v>
      </c>
      <c r="F164" s="35">
        <v>50</v>
      </c>
      <c r="G164" s="35"/>
      <c r="H164" s="35"/>
      <c r="I164" s="35"/>
      <c r="J164" s="35"/>
      <c r="K164" s="50"/>
    </row>
    <row r="165" spans="1:11" ht="10.5" customHeight="1" x14ac:dyDescent="0.25">
      <c r="A165" s="49">
        <v>109</v>
      </c>
      <c r="B165" s="49" t="s">
        <v>319</v>
      </c>
      <c r="C165" s="49">
        <v>82</v>
      </c>
      <c r="D165" s="49">
        <v>70</v>
      </c>
      <c r="E165" s="34">
        <v>46144</v>
      </c>
      <c r="F165" s="35">
        <v>50</v>
      </c>
      <c r="G165" s="35"/>
      <c r="H165" s="35"/>
      <c r="I165" s="35"/>
      <c r="J165" s="35"/>
      <c r="K165" s="49">
        <f>F165+F166</f>
        <v>70</v>
      </c>
    </row>
    <row r="166" spans="1:11" ht="10.5" customHeight="1" x14ac:dyDescent="0.25">
      <c r="A166" s="50"/>
      <c r="B166" s="50"/>
      <c r="C166" s="50"/>
      <c r="D166" s="50"/>
      <c r="E166" s="34">
        <v>46144</v>
      </c>
      <c r="F166" s="35">
        <v>20</v>
      </c>
      <c r="G166" s="35"/>
      <c r="H166" s="35"/>
      <c r="I166" s="35"/>
      <c r="J166" s="35"/>
      <c r="K166" s="50"/>
    </row>
    <row r="167" spans="1:11" ht="10.5" customHeight="1" x14ac:dyDescent="0.25">
      <c r="A167" s="35">
        <v>110</v>
      </c>
      <c r="B167" s="35" t="s">
        <v>322</v>
      </c>
      <c r="C167" s="35">
        <v>79</v>
      </c>
      <c r="D167" s="35">
        <v>40</v>
      </c>
      <c r="E167" s="34">
        <v>46144</v>
      </c>
      <c r="F167" s="35">
        <v>20</v>
      </c>
      <c r="G167" s="35"/>
      <c r="H167" s="35"/>
      <c r="I167" s="35"/>
      <c r="J167" s="35"/>
      <c r="K167" s="35">
        <v>20</v>
      </c>
    </row>
    <row r="168" spans="1:11" ht="10.5" customHeight="1" x14ac:dyDescent="0.25">
      <c r="A168" s="35">
        <v>111</v>
      </c>
      <c r="B168" s="35" t="s">
        <v>323</v>
      </c>
      <c r="C168" s="35">
        <v>28</v>
      </c>
      <c r="D168" s="35">
        <v>20</v>
      </c>
      <c r="E168" s="34">
        <v>46144</v>
      </c>
      <c r="F168" s="35">
        <v>20</v>
      </c>
      <c r="G168" s="35"/>
      <c r="H168" s="35"/>
      <c r="I168" s="35"/>
      <c r="J168" s="35"/>
      <c r="K168" s="35">
        <v>20</v>
      </c>
    </row>
    <row r="169" spans="1:11" ht="10.5" customHeight="1" x14ac:dyDescent="0.25">
      <c r="A169" s="35">
        <v>112</v>
      </c>
      <c r="B169" s="38" t="s">
        <v>260</v>
      </c>
      <c r="C169" s="35">
        <v>132</v>
      </c>
      <c r="D169" s="35">
        <v>100</v>
      </c>
      <c r="E169" s="35"/>
      <c r="F169" s="35"/>
      <c r="G169" s="34">
        <v>46167</v>
      </c>
      <c r="H169" s="35">
        <v>100</v>
      </c>
      <c r="I169" s="35"/>
      <c r="J169" s="35"/>
      <c r="K169" s="35">
        <v>100</v>
      </c>
    </row>
    <row r="170" spans="1:11" ht="10.5" customHeight="1" x14ac:dyDescent="0.25">
      <c r="A170" s="35">
        <v>113</v>
      </c>
      <c r="B170" s="38" t="s">
        <v>261</v>
      </c>
      <c r="C170" s="35">
        <v>69</v>
      </c>
      <c r="D170" s="35">
        <v>100</v>
      </c>
      <c r="E170" s="35"/>
      <c r="F170" s="35"/>
      <c r="G170" s="34">
        <v>46167</v>
      </c>
      <c r="H170" s="35">
        <v>100</v>
      </c>
      <c r="I170" s="35"/>
      <c r="J170" s="35"/>
      <c r="K170" s="35">
        <v>100</v>
      </c>
    </row>
    <row r="171" spans="1:11" ht="10.5" customHeight="1" x14ac:dyDescent="0.25">
      <c r="A171" s="35">
        <v>114</v>
      </c>
      <c r="B171" s="38" t="s">
        <v>267</v>
      </c>
      <c r="C171" s="35">
        <v>333</v>
      </c>
      <c r="D171" s="35">
        <v>50</v>
      </c>
      <c r="E171" s="35"/>
      <c r="F171" s="35"/>
      <c r="G171" s="34">
        <v>46167</v>
      </c>
      <c r="H171" s="35">
        <v>50</v>
      </c>
      <c r="I171" s="35"/>
      <c r="J171" s="35"/>
      <c r="K171" s="35">
        <v>50</v>
      </c>
    </row>
    <row r="172" spans="1:11" ht="10.5" customHeight="1" x14ac:dyDescent="0.25">
      <c r="A172" s="35">
        <v>115</v>
      </c>
      <c r="B172" s="38" t="s">
        <v>492</v>
      </c>
      <c r="C172" s="35">
        <v>65</v>
      </c>
      <c r="D172" s="35">
        <v>50</v>
      </c>
      <c r="E172" s="35"/>
      <c r="F172" s="35"/>
      <c r="G172" s="34">
        <v>46167</v>
      </c>
      <c r="H172" s="35">
        <v>50</v>
      </c>
      <c r="I172" s="35"/>
      <c r="J172" s="35"/>
      <c r="K172" s="35">
        <v>50</v>
      </c>
    </row>
    <row r="173" spans="1:11" ht="10.5" customHeight="1" x14ac:dyDescent="0.25">
      <c r="A173" s="35">
        <v>116</v>
      </c>
      <c r="B173" s="38" t="s">
        <v>491</v>
      </c>
      <c r="C173" s="35">
        <v>105</v>
      </c>
      <c r="D173" s="35">
        <v>50</v>
      </c>
      <c r="E173" s="35"/>
      <c r="F173" s="35"/>
      <c r="G173" s="34">
        <v>46167</v>
      </c>
      <c r="H173" s="35">
        <v>50</v>
      </c>
      <c r="I173" s="35"/>
      <c r="J173" s="35"/>
      <c r="K173" s="35">
        <v>50</v>
      </c>
    </row>
    <row r="174" spans="1:11" ht="10.5" customHeight="1" x14ac:dyDescent="0.25">
      <c r="A174" s="35">
        <v>117</v>
      </c>
      <c r="B174" s="38" t="s">
        <v>268</v>
      </c>
      <c r="C174" s="35">
        <v>51</v>
      </c>
      <c r="D174" s="35">
        <v>100</v>
      </c>
      <c r="E174" s="35"/>
      <c r="F174" s="35"/>
      <c r="G174" s="34">
        <v>46167</v>
      </c>
      <c r="H174" s="35">
        <v>50</v>
      </c>
      <c r="I174" s="35"/>
      <c r="J174" s="35"/>
      <c r="K174" s="35">
        <v>50</v>
      </c>
    </row>
    <row r="175" spans="1:11" ht="10.5" customHeight="1" x14ac:dyDescent="0.25">
      <c r="A175" s="35">
        <v>118</v>
      </c>
      <c r="B175" s="38" t="s">
        <v>270</v>
      </c>
      <c r="C175" s="35">
        <v>49</v>
      </c>
      <c r="D175" s="35">
        <v>50</v>
      </c>
      <c r="E175" s="35"/>
      <c r="F175" s="35"/>
      <c r="G175" s="35"/>
      <c r="H175" s="35"/>
      <c r="I175" s="35"/>
      <c r="J175" s="35"/>
      <c r="K175" s="36" t="s">
        <v>508</v>
      </c>
    </row>
    <row r="176" spans="1:11" ht="10.5" customHeight="1" x14ac:dyDescent="0.25">
      <c r="A176" s="35">
        <v>119</v>
      </c>
      <c r="B176" s="38" t="s">
        <v>273</v>
      </c>
      <c r="C176" s="35">
        <v>91</v>
      </c>
      <c r="D176" s="35">
        <v>50</v>
      </c>
      <c r="E176" s="35"/>
      <c r="F176" s="35"/>
      <c r="G176" s="35"/>
      <c r="H176" s="35"/>
      <c r="I176" s="35"/>
      <c r="J176" s="35"/>
      <c r="K176" s="36" t="s">
        <v>508</v>
      </c>
    </row>
    <row r="177" spans="1:11" ht="10.5" customHeight="1" x14ac:dyDescent="0.25">
      <c r="A177" s="35">
        <v>120</v>
      </c>
      <c r="B177" s="38" t="s">
        <v>271</v>
      </c>
      <c r="C177" s="35">
        <v>8</v>
      </c>
      <c r="D177" s="35">
        <v>20</v>
      </c>
      <c r="E177" s="35"/>
      <c r="F177" s="35"/>
      <c r="G177" s="35"/>
      <c r="H177" s="35"/>
      <c r="I177" s="35"/>
      <c r="J177" s="35"/>
      <c r="K177" s="36" t="s">
        <v>508</v>
      </c>
    </row>
    <row r="178" spans="1:11" ht="10.5" customHeight="1" x14ac:dyDescent="0.25">
      <c r="A178" s="35">
        <v>121</v>
      </c>
      <c r="B178" s="38" t="s">
        <v>274</v>
      </c>
      <c r="C178" s="35">
        <v>23</v>
      </c>
      <c r="D178" s="35">
        <v>20</v>
      </c>
      <c r="E178" s="35"/>
      <c r="F178" s="35"/>
      <c r="G178" s="35"/>
      <c r="H178" s="35"/>
      <c r="I178" s="35"/>
      <c r="J178" s="35"/>
      <c r="K178" s="36" t="s">
        <v>508</v>
      </c>
    </row>
    <row r="179" spans="1:11" ht="10.5" customHeight="1" x14ac:dyDescent="0.25">
      <c r="A179" s="35">
        <v>122</v>
      </c>
      <c r="B179" s="38" t="s">
        <v>238</v>
      </c>
      <c r="C179" s="35">
        <v>131</v>
      </c>
      <c r="D179" s="35">
        <v>0</v>
      </c>
      <c r="E179" s="35"/>
      <c r="F179" s="35"/>
      <c r="G179" s="35"/>
      <c r="H179" s="35"/>
      <c r="I179" s="35"/>
      <c r="J179" s="35"/>
      <c r="K179" s="36" t="s">
        <v>508</v>
      </c>
    </row>
    <row r="180" spans="1:11" ht="10.5" customHeight="1" x14ac:dyDescent="0.25">
      <c r="A180" s="35">
        <v>123</v>
      </c>
      <c r="B180" s="38" t="s">
        <v>239</v>
      </c>
      <c r="C180" s="35">
        <v>24</v>
      </c>
      <c r="D180" s="35">
        <v>0</v>
      </c>
      <c r="E180" s="35"/>
      <c r="F180" s="35"/>
      <c r="G180" s="35"/>
      <c r="H180" s="35"/>
      <c r="I180" s="35"/>
      <c r="J180" s="35"/>
      <c r="K180" s="36" t="s">
        <v>508</v>
      </c>
    </row>
    <row r="181" spans="1:11" ht="10.5" customHeight="1" x14ac:dyDescent="0.25">
      <c r="A181" s="35">
        <v>124</v>
      </c>
      <c r="B181" s="38" t="s">
        <v>242</v>
      </c>
      <c r="C181" s="35">
        <v>224</v>
      </c>
      <c r="D181" s="35">
        <v>0</v>
      </c>
      <c r="E181" s="35"/>
      <c r="F181" s="35"/>
      <c r="G181" s="35"/>
      <c r="H181" s="35"/>
      <c r="I181" s="35"/>
      <c r="J181" s="35"/>
      <c r="K181" s="36" t="s">
        <v>508</v>
      </c>
    </row>
    <row r="182" spans="1:11" ht="10.5" customHeight="1" x14ac:dyDescent="0.25">
      <c r="A182" s="35">
        <v>125</v>
      </c>
      <c r="B182" s="38" t="s">
        <v>243</v>
      </c>
      <c r="C182" s="35">
        <v>23</v>
      </c>
      <c r="D182" s="35">
        <v>0</v>
      </c>
      <c r="E182" s="35"/>
      <c r="F182" s="35"/>
      <c r="G182" s="35"/>
      <c r="H182" s="35"/>
      <c r="I182" s="35"/>
      <c r="J182" s="35"/>
      <c r="K182" s="36" t="s">
        <v>508</v>
      </c>
    </row>
    <row r="183" spans="1:11" ht="10.5" customHeight="1" x14ac:dyDescent="0.25">
      <c r="A183" s="35">
        <v>126</v>
      </c>
      <c r="B183" s="38" t="s">
        <v>248</v>
      </c>
      <c r="C183" s="35">
        <v>96</v>
      </c>
      <c r="D183" s="35">
        <v>0</v>
      </c>
      <c r="E183" s="35"/>
      <c r="F183" s="35"/>
      <c r="G183" s="35"/>
      <c r="H183" s="35"/>
      <c r="I183" s="35"/>
      <c r="J183" s="35"/>
      <c r="K183" s="36" t="s">
        <v>508</v>
      </c>
    </row>
    <row r="184" spans="1:11" ht="10.5" customHeight="1" x14ac:dyDescent="0.25">
      <c r="A184" s="35">
        <v>127</v>
      </c>
      <c r="B184" s="38" t="s">
        <v>249</v>
      </c>
      <c r="C184" s="35">
        <v>32</v>
      </c>
      <c r="D184" s="35">
        <v>0</v>
      </c>
      <c r="E184" s="35"/>
      <c r="F184" s="35"/>
      <c r="G184" s="35"/>
      <c r="H184" s="35"/>
      <c r="I184" s="35"/>
      <c r="J184" s="35"/>
      <c r="K184" s="36" t="s">
        <v>508</v>
      </c>
    </row>
    <row r="185" spans="1:11" ht="10.5" customHeight="1" x14ac:dyDescent="0.25">
      <c r="A185" s="35">
        <v>128</v>
      </c>
      <c r="B185" s="38" t="s">
        <v>186</v>
      </c>
      <c r="C185" s="35">
        <v>14</v>
      </c>
      <c r="D185" s="35">
        <v>0</v>
      </c>
      <c r="E185" s="35"/>
      <c r="F185" s="35"/>
      <c r="G185" s="35"/>
      <c r="H185" s="35"/>
      <c r="I185" s="35"/>
      <c r="J185" s="35"/>
      <c r="K185" s="36" t="s">
        <v>508</v>
      </c>
    </row>
    <row r="186" spans="1:11" ht="10.5" customHeight="1" x14ac:dyDescent="0.25">
      <c r="A186" s="35">
        <v>129</v>
      </c>
      <c r="B186" s="38" t="s">
        <v>188</v>
      </c>
      <c r="C186" s="35">
        <v>9</v>
      </c>
      <c r="D186" s="35">
        <v>0</v>
      </c>
      <c r="E186" s="35"/>
      <c r="F186" s="35"/>
      <c r="G186" s="35"/>
      <c r="H186" s="35"/>
      <c r="I186" s="35"/>
      <c r="J186" s="35"/>
      <c r="K186" s="36" t="s">
        <v>508</v>
      </c>
    </row>
    <row r="187" spans="1:11" ht="10.5" customHeight="1" x14ac:dyDescent="0.25">
      <c r="A187" s="35">
        <v>130</v>
      </c>
      <c r="B187" s="38" t="s">
        <v>90</v>
      </c>
      <c r="C187" s="35">
        <v>100</v>
      </c>
      <c r="D187" s="35">
        <v>30</v>
      </c>
      <c r="E187" s="35"/>
      <c r="F187" s="35"/>
      <c r="G187" s="34">
        <v>46167</v>
      </c>
      <c r="H187" s="35">
        <v>30</v>
      </c>
      <c r="I187" s="35"/>
      <c r="J187" s="35"/>
      <c r="K187" s="35">
        <v>30</v>
      </c>
    </row>
    <row r="188" spans="1:11" ht="10.5" customHeight="1" x14ac:dyDescent="0.25">
      <c r="A188" s="35">
        <v>131</v>
      </c>
      <c r="B188" s="38" t="s">
        <v>92</v>
      </c>
      <c r="C188" s="35">
        <v>29</v>
      </c>
      <c r="D188" s="35">
        <v>0</v>
      </c>
      <c r="E188" s="35"/>
      <c r="F188" s="35"/>
      <c r="G188" s="35"/>
      <c r="H188" s="35"/>
      <c r="I188" s="35"/>
      <c r="J188" s="35"/>
      <c r="K188" s="36" t="s">
        <v>508</v>
      </c>
    </row>
    <row r="189" spans="1:11" ht="10.5" customHeight="1" x14ac:dyDescent="0.25">
      <c r="A189" s="35">
        <v>132</v>
      </c>
      <c r="B189" s="38" t="s">
        <v>102</v>
      </c>
      <c r="C189" s="35">
        <v>31</v>
      </c>
      <c r="D189" s="35">
        <v>30</v>
      </c>
      <c r="E189" s="35"/>
      <c r="F189" s="35"/>
      <c r="G189" s="34">
        <v>46167</v>
      </c>
      <c r="H189" s="35">
        <v>30</v>
      </c>
      <c r="I189" s="35"/>
      <c r="J189" s="35"/>
      <c r="K189" s="35">
        <v>30</v>
      </c>
    </row>
    <row r="190" spans="1:11" ht="10.5" customHeight="1" x14ac:dyDescent="0.25">
      <c r="A190" s="35">
        <v>133</v>
      </c>
      <c r="B190" s="38" t="s">
        <v>104</v>
      </c>
      <c r="C190" s="35">
        <v>29</v>
      </c>
      <c r="D190" s="35">
        <v>30</v>
      </c>
      <c r="E190" s="35"/>
      <c r="F190" s="35"/>
      <c r="G190" s="34">
        <v>46167</v>
      </c>
      <c r="H190" s="35">
        <v>30</v>
      </c>
      <c r="I190" s="35"/>
      <c r="J190" s="35"/>
      <c r="K190" s="35">
        <v>30</v>
      </c>
    </row>
    <row r="191" spans="1:11" ht="10.5" customHeight="1" x14ac:dyDescent="0.25">
      <c r="A191" s="35">
        <v>134</v>
      </c>
      <c r="B191" s="38" t="s">
        <v>114</v>
      </c>
      <c r="C191" s="35">
        <v>97</v>
      </c>
      <c r="D191" s="35">
        <v>30</v>
      </c>
      <c r="E191" s="35"/>
      <c r="F191" s="35"/>
      <c r="G191" s="34">
        <v>46167</v>
      </c>
      <c r="H191" s="35">
        <v>30</v>
      </c>
      <c r="I191" s="35"/>
      <c r="J191" s="35"/>
      <c r="K191" s="35">
        <v>30</v>
      </c>
    </row>
    <row r="192" spans="1:11" ht="10.5" customHeight="1" x14ac:dyDescent="0.25">
      <c r="A192" s="35">
        <v>135</v>
      </c>
      <c r="B192" s="38" t="s">
        <v>116</v>
      </c>
      <c r="C192" s="35">
        <v>49</v>
      </c>
      <c r="D192" s="35">
        <v>30</v>
      </c>
      <c r="E192" s="35"/>
      <c r="F192" s="35"/>
      <c r="G192" s="34">
        <v>46167</v>
      </c>
      <c r="H192" s="35">
        <v>30</v>
      </c>
      <c r="I192" s="35"/>
      <c r="J192" s="35"/>
      <c r="K192" s="35">
        <v>30</v>
      </c>
    </row>
    <row r="193" spans="1:11" ht="10.5" customHeight="1" x14ac:dyDescent="0.25">
      <c r="A193" s="35">
        <v>136</v>
      </c>
      <c r="B193" s="38" t="s">
        <v>70</v>
      </c>
      <c r="C193" s="35">
        <v>146</v>
      </c>
      <c r="D193" s="35">
        <v>50</v>
      </c>
      <c r="E193" s="35"/>
      <c r="F193" s="35"/>
      <c r="G193" s="34">
        <v>46167</v>
      </c>
      <c r="H193" s="35">
        <v>50</v>
      </c>
      <c r="I193" s="35"/>
      <c r="J193" s="35"/>
      <c r="K193" s="35">
        <v>50</v>
      </c>
    </row>
    <row r="194" spans="1:11" ht="10.5" customHeight="1" x14ac:dyDescent="0.25">
      <c r="A194" s="35">
        <v>137</v>
      </c>
      <c r="B194" s="38" t="s">
        <v>74</v>
      </c>
      <c r="C194" s="35">
        <v>66</v>
      </c>
      <c r="D194" s="35">
        <v>50</v>
      </c>
      <c r="E194" s="35"/>
      <c r="F194" s="35"/>
      <c r="G194" s="34">
        <v>46167</v>
      </c>
      <c r="H194" s="35">
        <v>50</v>
      </c>
      <c r="I194" s="35"/>
      <c r="J194" s="35"/>
      <c r="K194" s="35">
        <v>50</v>
      </c>
    </row>
    <row r="195" spans="1:11" ht="10.5" customHeight="1" x14ac:dyDescent="0.25">
      <c r="A195" s="35">
        <v>138</v>
      </c>
      <c r="B195" s="38" t="s">
        <v>76</v>
      </c>
      <c r="C195" s="35">
        <v>50</v>
      </c>
      <c r="D195" s="35">
        <v>50</v>
      </c>
      <c r="E195" s="35"/>
      <c r="F195" s="35"/>
      <c r="G195" s="34">
        <v>46167</v>
      </c>
      <c r="H195" s="35">
        <v>50</v>
      </c>
      <c r="I195" s="35"/>
      <c r="J195" s="35"/>
      <c r="K195" s="35">
        <v>50</v>
      </c>
    </row>
  </sheetData>
  <mergeCells count="265">
    <mergeCell ref="K160:K161"/>
    <mergeCell ref="K162:K164"/>
    <mergeCell ref="K165:K166"/>
    <mergeCell ref="A1:K2"/>
    <mergeCell ref="B83:B84"/>
    <mergeCell ref="A83:A84"/>
    <mergeCell ref="C83:C84"/>
    <mergeCell ref="D83:D84"/>
    <mergeCell ref="B90:B91"/>
    <mergeCell ref="A90:A91"/>
    <mergeCell ref="D90:D91"/>
    <mergeCell ref="C90:C91"/>
    <mergeCell ref="B93:B94"/>
    <mergeCell ref="A93:A94"/>
    <mergeCell ref="C93:C94"/>
    <mergeCell ref="D93:D94"/>
    <mergeCell ref="K150:K151"/>
    <mergeCell ref="K152:K153"/>
    <mergeCell ref="K154:K155"/>
    <mergeCell ref="K156:K157"/>
    <mergeCell ref="K158:K159"/>
    <mergeCell ref="K138:K139"/>
    <mergeCell ref="K140:K141"/>
    <mergeCell ref="K142:K143"/>
    <mergeCell ref="K145:K146"/>
    <mergeCell ref="K148:K149"/>
    <mergeCell ref="K117:K118"/>
    <mergeCell ref="K121:K122"/>
    <mergeCell ref="K127:K128"/>
    <mergeCell ref="K133:K134"/>
    <mergeCell ref="K135:K136"/>
    <mergeCell ref="K96:K97"/>
    <mergeCell ref="K100:K101"/>
    <mergeCell ref="K107:K108"/>
    <mergeCell ref="K112:K113"/>
    <mergeCell ref="K114:K115"/>
    <mergeCell ref="K79:K80"/>
    <mergeCell ref="K83:K84"/>
    <mergeCell ref="K90:K91"/>
    <mergeCell ref="K93:K94"/>
    <mergeCell ref="D58:D59"/>
    <mergeCell ref="C58:C59"/>
    <mergeCell ref="B58:B59"/>
    <mergeCell ref="A58:A59"/>
    <mergeCell ref="K75:K76"/>
    <mergeCell ref="B60:B61"/>
    <mergeCell ref="C60:C61"/>
    <mergeCell ref="D60:D61"/>
    <mergeCell ref="A60:A61"/>
    <mergeCell ref="B67:B68"/>
    <mergeCell ref="C67:C68"/>
    <mergeCell ref="D67:D68"/>
    <mergeCell ref="A67:A68"/>
    <mergeCell ref="D63:D64"/>
    <mergeCell ref="C63:C64"/>
    <mergeCell ref="B63:B64"/>
    <mergeCell ref="A63:A64"/>
    <mergeCell ref="A65:A66"/>
    <mergeCell ref="B65:B66"/>
    <mergeCell ref="A72:A73"/>
    <mergeCell ref="B72:B73"/>
    <mergeCell ref="C72:C73"/>
    <mergeCell ref="D72:D73"/>
    <mergeCell ref="D70:D71"/>
    <mergeCell ref="C70:C71"/>
    <mergeCell ref="B70:B71"/>
    <mergeCell ref="A70:A71"/>
    <mergeCell ref="K77:K78"/>
    <mergeCell ref="D117:D118"/>
    <mergeCell ref="C117:C118"/>
    <mergeCell ref="B117:B118"/>
    <mergeCell ref="A117:A118"/>
    <mergeCell ref="B79:B80"/>
    <mergeCell ref="D114:D115"/>
    <mergeCell ref="C114:C115"/>
    <mergeCell ref="B114:B115"/>
    <mergeCell ref="A114:A115"/>
    <mergeCell ref="A79:A80"/>
    <mergeCell ref="C79:C80"/>
    <mergeCell ref="D79:D80"/>
    <mergeCell ref="K70:K71"/>
    <mergeCell ref="K72:K73"/>
    <mergeCell ref="B112:B113"/>
    <mergeCell ref="A112:A113"/>
    <mergeCell ref="C127:C128"/>
    <mergeCell ref="D127:D128"/>
    <mergeCell ref="B127:B128"/>
    <mergeCell ref="A127:A128"/>
    <mergeCell ref="B121:B122"/>
    <mergeCell ref="A121:A122"/>
    <mergeCell ref="C121:C122"/>
    <mergeCell ref="D121:D122"/>
    <mergeCell ref="D135:D136"/>
    <mergeCell ref="C135:C136"/>
    <mergeCell ref="B135:B136"/>
    <mergeCell ref="A135:A136"/>
    <mergeCell ref="B133:B134"/>
    <mergeCell ref="C133:C134"/>
    <mergeCell ref="D133:D134"/>
    <mergeCell ref="A133:A134"/>
    <mergeCell ref="D140:D141"/>
    <mergeCell ref="B140:B141"/>
    <mergeCell ref="C140:C141"/>
    <mergeCell ref="A140:A141"/>
    <mergeCell ref="A138:A139"/>
    <mergeCell ref="B138:B139"/>
    <mergeCell ref="C138:C139"/>
    <mergeCell ref="D138:D139"/>
    <mergeCell ref="D145:D146"/>
    <mergeCell ref="C145:C146"/>
    <mergeCell ref="B145:B146"/>
    <mergeCell ref="A145:A146"/>
    <mergeCell ref="A142:A143"/>
    <mergeCell ref="B142:B143"/>
    <mergeCell ref="C142:C143"/>
    <mergeCell ref="D142:D143"/>
    <mergeCell ref="C148:C149"/>
    <mergeCell ref="C150:C151"/>
    <mergeCell ref="D148:D149"/>
    <mergeCell ref="D150:D151"/>
    <mergeCell ref="A156:A157"/>
    <mergeCell ref="A154:A155"/>
    <mergeCell ref="A152:A153"/>
    <mergeCell ref="B150:B151"/>
    <mergeCell ref="A150:A151"/>
    <mergeCell ref="D152:D153"/>
    <mergeCell ref="C152:C153"/>
    <mergeCell ref="B152:B153"/>
    <mergeCell ref="B154:B155"/>
    <mergeCell ref="B156:B157"/>
    <mergeCell ref="C158:C159"/>
    <mergeCell ref="D158:D159"/>
    <mergeCell ref="D156:D157"/>
    <mergeCell ref="C156:C157"/>
    <mergeCell ref="C154:C155"/>
    <mergeCell ref="D154:D155"/>
    <mergeCell ref="D96:D97"/>
    <mergeCell ref="A96:A97"/>
    <mergeCell ref="B165:B166"/>
    <mergeCell ref="C165:C166"/>
    <mergeCell ref="D165:D166"/>
    <mergeCell ref="A165:A166"/>
    <mergeCell ref="B162:B164"/>
    <mergeCell ref="C162:C164"/>
    <mergeCell ref="D162:D164"/>
    <mergeCell ref="A162:A164"/>
    <mergeCell ref="B160:B161"/>
    <mergeCell ref="C160:C161"/>
    <mergeCell ref="D160:D161"/>
    <mergeCell ref="A160:A161"/>
    <mergeCell ref="A158:A159"/>
    <mergeCell ref="B158:B159"/>
    <mergeCell ref="A148:A149"/>
    <mergeCell ref="B148:B149"/>
    <mergeCell ref="C112:C113"/>
    <mergeCell ref="D112:D113"/>
    <mergeCell ref="D107:D108"/>
    <mergeCell ref="C107:C108"/>
    <mergeCell ref="B107:B108"/>
    <mergeCell ref="A107:A108"/>
    <mergeCell ref="C100:C101"/>
    <mergeCell ref="D100:D101"/>
    <mergeCell ref="B100:B101"/>
    <mergeCell ref="A100:A101"/>
    <mergeCell ref="B96:B97"/>
    <mergeCell ref="C96:C97"/>
    <mergeCell ref="A77:A78"/>
    <mergeCell ref="B75:B76"/>
    <mergeCell ref="C75:C76"/>
    <mergeCell ref="D75:D76"/>
    <mergeCell ref="A75:A76"/>
    <mergeCell ref="B77:B78"/>
    <mergeCell ref="C77:C78"/>
    <mergeCell ref="D77:D78"/>
    <mergeCell ref="K58:K59"/>
    <mergeCell ref="K60:K61"/>
    <mergeCell ref="K63:K64"/>
    <mergeCell ref="K65:K66"/>
    <mergeCell ref="K67:K68"/>
    <mergeCell ref="K55:K56"/>
    <mergeCell ref="A55:A56"/>
    <mergeCell ref="B55:B56"/>
    <mergeCell ref="C55:C56"/>
    <mergeCell ref="D55:D56"/>
    <mergeCell ref="C65:C66"/>
    <mergeCell ref="D65:D66"/>
    <mergeCell ref="A8:A9"/>
    <mergeCell ref="K6:K7"/>
    <mergeCell ref="A4:A5"/>
    <mergeCell ref="B4:B5"/>
    <mergeCell ref="C4:C5"/>
    <mergeCell ref="E4:F4"/>
    <mergeCell ref="A6:A7"/>
    <mergeCell ref="B6:B7"/>
    <mergeCell ref="C6:C7"/>
    <mergeCell ref="D6:D7"/>
    <mergeCell ref="D4:D5"/>
    <mergeCell ref="A3:K3"/>
    <mergeCell ref="K29:K30"/>
    <mergeCell ref="K33:K34"/>
    <mergeCell ref="B20:B21"/>
    <mergeCell ref="A20:A21"/>
    <mergeCell ref="A16:A17"/>
    <mergeCell ref="B16:B17"/>
    <mergeCell ref="K4:K5"/>
    <mergeCell ref="K10:K11"/>
    <mergeCell ref="D10:D11"/>
    <mergeCell ref="C10:C11"/>
    <mergeCell ref="B10:B11"/>
    <mergeCell ref="A10:A11"/>
    <mergeCell ref="B8:B9"/>
    <mergeCell ref="C8:C9"/>
    <mergeCell ref="D8:D9"/>
    <mergeCell ref="D29:D30"/>
    <mergeCell ref="B12:B13"/>
    <mergeCell ref="A12:A13"/>
    <mergeCell ref="A29:A30"/>
    <mergeCell ref="B29:B30"/>
    <mergeCell ref="C29:C30"/>
    <mergeCell ref="C20:C21"/>
    <mergeCell ref="C16:C17"/>
    <mergeCell ref="K36:K37"/>
    <mergeCell ref="K40:K41"/>
    <mergeCell ref="G4:H4"/>
    <mergeCell ref="I4:J4"/>
    <mergeCell ref="D20:D21"/>
    <mergeCell ref="D16:D17"/>
    <mergeCell ref="D12:D13"/>
    <mergeCell ref="K12:K13"/>
    <mergeCell ref="K16:K17"/>
    <mergeCell ref="K20:K21"/>
    <mergeCell ref="K8:K9"/>
    <mergeCell ref="D40:D41"/>
    <mergeCell ref="C12:C13"/>
    <mergeCell ref="A33:A34"/>
    <mergeCell ref="B33:B34"/>
    <mergeCell ref="C33:C34"/>
    <mergeCell ref="D33:D34"/>
    <mergeCell ref="A36:A37"/>
    <mergeCell ref="B36:B37"/>
    <mergeCell ref="C36:C37"/>
    <mergeCell ref="D36:D37"/>
    <mergeCell ref="C40:C41"/>
    <mergeCell ref="B40:B41"/>
    <mergeCell ref="A40:A41"/>
    <mergeCell ref="D43:D44"/>
    <mergeCell ref="C43:C44"/>
    <mergeCell ref="B43:B44"/>
    <mergeCell ref="A43:A44"/>
    <mergeCell ref="K43:K44"/>
    <mergeCell ref="D45:D46"/>
    <mergeCell ref="A45:A46"/>
    <mergeCell ref="B45:B46"/>
    <mergeCell ref="C45:C46"/>
    <mergeCell ref="K45:K46"/>
    <mergeCell ref="K53:K54"/>
    <mergeCell ref="A53:A54"/>
    <mergeCell ref="B53:B54"/>
    <mergeCell ref="C53:C54"/>
    <mergeCell ref="D53:D54"/>
    <mergeCell ref="K50:K51"/>
    <mergeCell ref="D50:D51"/>
    <mergeCell ref="C50:C51"/>
    <mergeCell ref="B50:B51"/>
    <mergeCell ref="A50:A51"/>
  </mergeCells>
  <pageMargins left="0.28000000000000003" right="0.15" top="0.17" bottom="0.46" header="0.3" footer="0.17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3963-3BD9-457F-9518-8594C6424C55}">
  <dimension ref="A1:K195"/>
  <sheetViews>
    <sheetView topLeftCell="A141" workbookViewId="0">
      <selection activeCell="B4" sqref="B4:C195"/>
    </sheetView>
  </sheetViews>
  <sheetFormatPr defaultRowHeight="15" x14ac:dyDescent="0.25"/>
  <cols>
    <col min="1" max="1" width="9.28515625" bestFit="1" customWidth="1"/>
    <col min="2" max="2" width="22.85546875" bestFit="1" customWidth="1"/>
    <col min="3" max="3" width="16.5703125" bestFit="1" customWidth="1"/>
    <col min="4" max="4" width="17.5703125" bestFit="1" customWidth="1"/>
    <col min="5" max="5" width="14.5703125" bestFit="1" customWidth="1"/>
    <col min="6" max="6" width="12.140625" bestFit="1" customWidth="1"/>
    <col min="7" max="7" width="11.5703125" bestFit="1" customWidth="1"/>
    <col min="8" max="8" width="12.140625" bestFit="1" customWidth="1"/>
    <col min="10" max="10" width="12.140625" bestFit="1" customWidth="1"/>
    <col min="11" max="11" width="11.42578125" bestFit="1" customWidth="1"/>
  </cols>
  <sheetData>
    <row r="1" spans="1:11" x14ac:dyDescent="0.25">
      <c r="A1" s="58" t="s">
        <v>514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15.75" x14ac:dyDescent="0.25">
      <c r="A3" s="59" t="s">
        <v>513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ht="15.75" x14ac:dyDescent="0.25">
      <c r="A4" s="60" t="s">
        <v>502</v>
      </c>
      <c r="B4" s="60" t="s">
        <v>3</v>
      </c>
      <c r="C4" s="60" t="s">
        <v>503</v>
      </c>
      <c r="D4" s="60" t="s">
        <v>515</v>
      </c>
      <c r="E4" s="62" t="s">
        <v>504</v>
      </c>
      <c r="F4" s="62"/>
      <c r="G4" s="62" t="s">
        <v>509</v>
      </c>
      <c r="H4" s="62"/>
      <c r="I4" s="62" t="s">
        <v>510</v>
      </c>
      <c r="J4" s="62"/>
      <c r="K4" s="60" t="s">
        <v>507</v>
      </c>
    </row>
    <row r="5" spans="1:11" ht="15.75" x14ac:dyDescent="0.25">
      <c r="A5" s="61"/>
      <c r="B5" s="61"/>
      <c r="C5" s="61"/>
      <c r="D5" s="61"/>
      <c r="E5" s="14" t="s">
        <v>505</v>
      </c>
      <c r="F5" s="14" t="s">
        <v>506</v>
      </c>
      <c r="G5" s="14" t="s">
        <v>505</v>
      </c>
      <c r="H5" s="14" t="s">
        <v>506</v>
      </c>
      <c r="I5" s="14" t="s">
        <v>505</v>
      </c>
      <c r="J5" s="14" t="s">
        <v>506</v>
      </c>
      <c r="K5" s="61"/>
    </row>
    <row r="6" spans="1:11" ht="15.75" x14ac:dyDescent="0.25">
      <c r="A6" s="60">
        <v>1</v>
      </c>
      <c r="B6" s="60" t="s">
        <v>5</v>
      </c>
      <c r="C6" s="60">
        <v>265</v>
      </c>
      <c r="D6" s="60">
        <v>319</v>
      </c>
      <c r="E6" s="32">
        <v>46144</v>
      </c>
      <c r="F6" s="14">
        <v>19</v>
      </c>
      <c r="G6" s="32"/>
      <c r="H6" s="14"/>
      <c r="I6" s="32"/>
      <c r="J6" s="14"/>
      <c r="K6" s="60">
        <f>F7+F6</f>
        <v>319</v>
      </c>
    </row>
    <row r="7" spans="1:11" ht="15.75" x14ac:dyDescent="0.25">
      <c r="A7" s="61"/>
      <c r="B7" s="61"/>
      <c r="C7" s="61"/>
      <c r="D7" s="61"/>
      <c r="E7" s="32">
        <v>46144</v>
      </c>
      <c r="F7" s="14">
        <v>300</v>
      </c>
      <c r="G7" s="32"/>
      <c r="H7" s="14"/>
      <c r="I7" s="32"/>
      <c r="J7" s="14"/>
      <c r="K7" s="61"/>
    </row>
    <row r="8" spans="1:11" ht="15.75" x14ac:dyDescent="0.25">
      <c r="A8" s="60">
        <v>2</v>
      </c>
      <c r="B8" s="63" t="s">
        <v>7</v>
      </c>
      <c r="C8" s="63">
        <v>414</v>
      </c>
      <c r="D8" s="60">
        <v>500</v>
      </c>
      <c r="E8" s="32">
        <v>46144</v>
      </c>
      <c r="F8" s="14">
        <v>300</v>
      </c>
      <c r="G8" s="32"/>
      <c r="H8" s="14"/>
      <c r="I8" s="32"/>
      <c r="J8" s="14"/>
      <c r="K8" s="60">
        <f>F8+F9</f>
        <v>500</v>
      </c>
    </row>
    <row r="9" spans="1:11" ht="15.75" x14ac:dyDescent="0.25">
      <c r="A9" s="61"/>
      <c r="B9" s="64"/>
      <c r="C9" s="64"/>
      <c r="D9" s="61"/>
      <c r="E9" s="32">
        <v>46144</v>
      </c>
      <c r="F9" s="14">
        <v>200</v>
      </c>
      <c r="G9" s="32"/>
      <c r="H9" s="14"/>
      <c r="I9" s="32"/>
      <c r="J9" s="14"/>
      <c r="K9" s="61"/>
    </row>
    <row r="10" spans="1:11" ht="15.75" x14ac:dyDescent="0.25">
      <c r="A10" s="60">
        <v>3</v>
      </c>
      <c r="B10" s="60" t="s">
        <v>17</v>
      </c>
      <c r="C10" s="60">
        <v>32</v>
      </c>
      <c r="D10" s="60">
        <v>135</v>
      </c>
      <c r="E10" s="32">
        <v>46144</v>
      </c>
      <c r="F10" s="14">
        <v>35</v>
      </c>
      <c r="G10" s="32"/>
      <c r="H10" s="14"/>
      <c r="I10" s="32"/>
      <c r="J10" s="14"/>
      <c r="K10" s="60">
        <v>135</v>
      </c>
    </row>
    <row r="11" spans="1:11" ht="15.75" x14ac:dyDescent="0.25">
      <c r="A11" s="61"/>
      <c r="B11" s="61"/>
      <c r="C11" s="61"/>
      <c r="D11" s="61"/>
      <c r="E11" s="32">
        <v>46144</v>
      </c>
      <c r="F11" s="14">
        <v>100</v>
      </c>
      <c r="G11" s="32"/>
      <c r="H11" s="14"/>
      <c r="I11" s="32"/>
      <c r="J11" s="14"/>
      <c r="K11" s="61"/>
    </row>
    <row r="12" spans="1:11" ht="15.75" x14ac:dyDescent="0.25">
      <c r="A12" s="60">
        <v>4</v>
      </c>
      <c r="B12" s="60" t="s">
        <v>21</v>
      </c>
      <c r="C12" s="60">
        <v>82</v>
      </c>
      <c r="D12" s="60">
        <v>80</v>
      </c>
      <c r="E12" s="32">
        <v>46144</v>
      </c>
      <c r="F12" s="14">
        <v>30</v>
      </c>
      <c r="G12" s="32"/>
      <c r="H12" s="14"/>
      <c r="I12" s="32"/>
      <c r="J12" s="14"/>
      <c r="K12" s="60">
        <v>80</v>
      </c>
    </row>
    <row r="13" spans="1:11" ht="15.75" x14ac:dyDescent="0.25">
      <c r="A13" s="61"/>
      <c r="B13" s="61"/>
      <c r="C13" s="61"/>
      <c r="D13" s="61"/>
      <c r="E13" s="32">
        <v>46144</v>
      </c>
      <c r="F13" s="14">
        <v>50</v>
      </c>
      <c r="G13" s="32"/>
      <c r="H13" s="14"/>
      <c r="I13" s="32"/>
      <c r="J13" s="14"/>
      <c r="K13" s="61"/>
    </row>
    <row r="14" spans="1:11" ht="15.75" x14ac:dyDescent="0.25">
      <c r="A14" s="14">
        <v>5</v>
      </c>
      <c r="B14" s="14" t="s">
        <v>15</v>
      </c>
      <c r="C14" s="14">
        <v>69</v>
      </c>
      <c r="D14" s="14">
        <v>0</v>
      </c>
      <c r="E14" s="14"/>
      <c r="F14" s="14"/>
      <c r="G14" s="14"/>
      <c r="H14" s="14"/>
      <c r="I14" s="14"/>
      <c r="J14" s="14"/>
      <c r="K14" s="33" t="s">
        <v>508</v>
      </c>
    </row>
    <row r="15" spans="1:11" ht="15.75" x14ac:dyDescent="0.25">
      <c r="A15" s="14">
        <v>6</v>
      </c>
      <c r="B15" s="14" t="s">
        <v>13</v>
      </c>
      <c r="C15" s="14">
        <v>63</v>
      </c>
      <c r="D15" s="14">
        <v>30</v>
      </c>
      <c r="E15" s="32">
        <v>46144</v>
      </c>
      <c r="F15" s="14">
        <v>10</v>
      </c>
      <c r="G15" s="32"/>
      <c r="H15" s="14"/>
      <c r="I15" s="32"/>
      <c r="J15" s="14"/>
      <c r="K15" s="14">
        <v>10</v>
      </c>
    </row>
    <row r="16" spans="1:11" ht="15.75" x14ac:dyDescent="0.25">
      <c r="A16" s="60">
        <v>7</v>
      </c>
      <c r="B16" s="60" t="s">
        <v>41</v>
      </c>
      <c r="C16" s="60">
        <v>52</v>
      </c>
      <c r="D16" s="60">
        <v>112</v>
      </c>
      <c r="E16" s="32">
        <v>46144</v>
      </c>
      <c r="F16" s="14">
        <v>12</v>
      </c>
      <c r="G16" s="32"/>
      <c r="H16" s="14"/>
      <c r="I16" s="32"/>
      <c r="J16" s="14"/>
      <c r="K16" s="60">
        <v>112</v>
      </c>
    </row>
    <row r="17" spans="1:11" ht="15.75" x14ac:dyDescent="0.25">
      <c r="A17" s="61"/>
      <c r="B17" s="61"/>
      <c r="C17" s="61"/>
      <c r="D17" s="61"/>
      <c r="E17" s="32">
        <v>46144</v>
      </c>
      <c r="F17" s="14">
        <v>100</v>
      </c>
      <c r="G17" s="32"/>
      <c r="H17" s="14"/>
      <c r="I17" s="32"/>
      <c r="J17" s="14"/>
      <c r="K17" s="61"/>
    </row>
    <row r="18" spans="1:11" ht="15.75" x14ac:dyDescent="0.25">
      <c r="A18" s="14">
        <v>8</v>
      </c>
      <c r="B18" s="14" t="s">
        <v>43</v>
      </c>
      <c r="C18" s="14">
        <v>38</v>
      </c>
      <c r="D18" s="14">
        <v>50</v>
      </c>
      <c r="E18" s="32">
        <v>46144</v>
      </c>
      <c r="F18" s="14">
        <v>25</v>
      </c>
      <c r="G18" s="32"/>
      <c r="H18" s="14"/>
      <c r="I18" s="32"/>
      <c r="J18" s="14"/>
      <c r="K18" s="14">
        <v>25</v>
      </c>
    </row>
    <row r="19" spans="1:11" ht="15.75" x14ac:dyDescent="0.25">
      <c r="A19" s="14">
        <v>9</v>
      </c>
      <c r="B19" s="14" t="s">
        <v>25</v>
      </c>
      <c r="C19" s="14">
        <v>82</v>
      </c>
      <c r="D19" s="14">
        <v>150</v>
      </c>
      <c r="E19" s="32">
        <v>46144</v>
      </c>
      <c r="F19" s="14">
        <v>100</v>
      </c>
      <c r="G19" s="32"/>
      <c r="H19" s="14"/>
      <c r="I19" s="32"/>
      <c r="J19" s="14"/>
      <c r="K19" s="14">
        <v>100</v>
      </c>
    </row>
    <row r="20" spans="1:11" ht="15.75" x14ac:dyDescent="0.25">
      <c r="A20" s="60">
        <v>10</v>
      </c>
      <c r="B20" s="60" t="s">
        <v>27</v>
      </c>
      <c r="C20" s="60">
        <v>24</v>
      </c>
      <c r="D20" s="60">
        <v>95</v>
      </c>
      <c r="E20" s="32">
        <v>46144</v>
      </c>
      <c r="F20" s="14">
        <v>45</v>
      </c>
      <c r="G20" s="32"/>
      <c r="H20" s="14"/>
      <c r="I20" s="32"/>
      <c r="J20" s="14"/>
      <c r="K20" s="60">
        <f>F20+F21</f>
        <v>95</v>
      </c>
    </row>
    <row r="21" spans="1:11" ht="15.75" x14ac:dyDescent="0.25">
      <c r="A21" s="61"/>
      <c r="B21" s="61"/>
      <c r="C21" s="61"/>
      <c r="D21" s="61"/>
      <c r="E21" s="32">
        <v>46144</v>
      </c>
      <c r="F21" s="14">
        <v>50</v>
      </c>
      <c r="G21" s="32"/>
      <c r="H21" s="14"/>
      <c r="I21" s="32"/>
      <c r="J21" s="14"/>
      <c r="K21" s="61"/>
    </row>
    <row r="22" spans="1:11" ht="15.75" x14ac:dyDescent="0.25">
      <c r="A22" s="14">
        <v>11</v>
      </c>
      <c r="B22" s="14" t="s">
        <v>29</v>
      </c>
      <c r="C22" s="14">
        <v>2</v>
      </c>
      <c r="D22" s="14">
        <v>0</v>
      </c>
      <c r="E22" s="14"/>
      <c r="F22" s="14"/>
      <c r="G22" s="14"/>
      <c r="H22" s="14"/>
      <c r="I22" s="14"/>
      <c r="J22" s="14"/>
      <c r="K22" s="33" t="s">
        <v>508</v>
      </c>
    </row>
    <row r="23" spans="1:11" ht="15.75" x14ac:dyDescent="0.25">
      <c r="A23" s="14">
        <v>12</v>
      </c>
      <c r="B23" s="14" t="s">
        <v>31</v>
      </c>
      <c r="C23" s="14">
        <v>2</v>
      </c>
      <c r="D23" s="14">
        <v>0</v>
      </c>
      <c r="E23" s="14"/>
      <c r="F23" s="14"/>
      <c r="G23" s="14"/>
      <c r="H23" s="14"/>
      <c r="I23" s="14"/>
      <c r="J23" s="14"/>
      <c r="K23" s="33" t="s">
        <v>508</v>
      </c>
    </row>
    <row r="24" spans="1:11" ht="15.75" x14ac:dyDescent="0.25">
      <c r="A24" s="14">
        <v>13</v>
      </c>
      <c r="B24" s="14" t="s">
        <v>57</v>
      </c>
      <c r="C24" s="14">
        <v>74</v>
      </c>
      <c r="D24" s="14">
        <v>50</v>
      </c>
      <c r="E24" s="32">
        <v>46144</v>
      </c>
      <c r="F24" s="14">
        <v>50</v>
      </c>
      <c r="G24" s="32"/>
      <c r="H24" s="14"/>
      <c r="I24" s="32"/>
      <c r="J24" s="14"/>
      <c r="K24" s="14">
        <v>50</v>
      </c>
    </row>
    <row r="25" spans="1:11" ht="15.75" x14ac:dyDescent="0.25">
      <c r="A25" s="14">
        <v>14</v>
      </c>
      <c r="B25" s="14" t="s">
        <v>10</v>
      </c>
      <c r="C25" s="14">
        <v>292</v>
      </c>
      <c r="D25" s="14">
        <v>200</v>
      </c>
      <c r="E25" s="14"/>
      <c r="F25" s="14"/>
      <c r="G25" s="14"/>
      <c r="H25" s="14"/>
      <c r="I25" s="14"/>
      <c r="J25" s="14"/>
      <c r="K25" s="33" t="s">
        <v>508</v>
      </c>
    </row>
    <row r="26" spans="1:11" ht="15.75" x14ac:dyDescent="0.25">
      <c r="A26" s="14">
        <v>15</v>
      </c>
      <c r="B26" s="14" t="s">
        <v>12</v>
      </c>
      <c r="C26" s="14">
        <v>597</v>
      </c>
      <c r="D26" s="14">
        <v>200</v>
      </c>
      <c r="E26" s="32"/>
      <c r="F26" s="14"/>
      <c r="G26" s="32">
        <v>46167</v>
      </c>
      <c r="H26" s="14">
        <v>150</v>
      </c>
      <c r="I26" s="32"/>
      <c r="J26" s="14"/>
      <c r="K26" s="14">
        <v>150</v>
      </c>
    </row>
    <row r="27" spans="1:11" ht="15.75" x14ac:dyDescent="0.25">
      <c r="A27" s="14">
        <v>16</v>
      </c>
      <c r="B27" s="14" t="s">
        <v>18</v>
      </c>
      <c r="C27" s="14">
        <v>777</v>
      </c>
      <c r="D27" s="14">
        <v>0</v>
      </c>
      <c r="E27" s="14"/>
      <c r="F27" s="14"/>
      <c r="G27" s="14"/>
      <c r="H27" s="14"/>
      <c r="I27" s="14"/>
      <c r="J27" s="14"/>
      <c r="K27" s="33" t="s">
        <v>508</v>
      </c>
    </row>
    <row r="28" spans="1:11" ht="15.75" x14ac:dyDescent="0.25">
      <c r="A28" s="14">
        <v>17</v>
      </c>
      <c r="B28" s="14" t="s">
        <v>20</v>
      </c>
      <c r="C28" s="14">
        <v>326</v>
      </c>
      <c r="D28" s="14">
        <v>300</v>
      </c>
      <c r="E28" s="32"/>
      <c r="F28" s="14"/>
      <c r="G28" s="32">
        <v>46167</v>
      </c>
      <c r="H28" s="14">
        <v>300</v>
      </c>
      <c r="I28" s="32"/>
      <c r="J28" s="14"/>
      <c r="K28" s="14">
        <v>300</v>
      </c>
    </row>
    <row r="29" spans="1:11" ht="15.75" x14ac:dyDescent="0.25">
      <c r="A29" s="60">
        <v>18</v>
      </c>
      <c r="B29" s="60" t="s">
        <v>26</v>
      </c>
      <c r="C29" s="60">
        <v>488</v>
      </c>
      <c r="D29" s="60">
        <v>180</v>
      </c>
      <c r="E29" s="32"/>
      <c r="F29" s="14"/>
      <c r="G29" s="32">
        <v>46125</v>
      </c>
      <c r="H29" s="14">
        <v>150</v>
      </c>
      <c r="I29" s="32"/>
      <c r="J29" s="14"/>
      <c r="K29" s="60">
        <v>300</v>
      </c>
    </row>
    <row r="30" spans="1:11" ht="15.75" x14ac:dyDescent="0.25">
      <c r="A30" s="61"/>
      <c r="B30" s="61"/>
      <c r="C30" s="61"/>
      <c r="D30" s="61"/>
      <c r="E30" s="32"/>
      <c r="F30" s="14"/>
      <c r="G30" s="32">
        <v>46167</v>
      </c>
      <c r="H30" s="14">
        <v>150</v>
      </c>
      <c r="I30" s="32"/>
      <c r="J30" s="14"/>
      <c r="K30" s="61"/>
    </row>
    <row r="31" spans="1:11" ht="15.75" x14ac:dyDescent="0.25">
      <c r="A31" s="14">
        <v>19</v>
      </c>
      <c r="B31" s="14" t="s">
        <v>28</v>
      </c>
      <c r="C31" s="14">
        <v>40</v>
      </c>
      <c r="D31" s="14">
        <v>0</v>
      </c>
      <c r="E31" s="14"/>
      <c r="F31" s="14"/>
      <c r="G31" s="14"/>
      <c r="H31" s="14"/>
      <c r="I31" s="14"/>
      <c r="J31" s="14"/>
      <c r="K31" s="33" t="s">
        <v>508</v>
      </c>
    </row>
    <row r="32" spans="1:11" ht="15.75" x14ac:dyDescent="0.25">
      <c r="A32" s="14">
        <v>20</v>
      </c>
      <c r="B32" s="14" t="s">
        <v>34</v>
      </c>
      <c r="C32" s="14">
        <v>377</v>
      </c>
      <c r="D32" s="14">
        <v>0</v>
      </c>
      <c r="E32" s="14"/>
      <c r="F32" s="14"/>
      <c r="G32" s="14"/>
      <c r="H32" s="14"/>
      <c r="I32" s="14"/>
      <c r="J32" s="14"/>
      <c r="K32" s="33" t="s">
        <v>508</v>
      </c>
    </row>
    <row r="33" spans="1:11" ht="15.75" x14ac:dyDescent="0.25">
      <c r="A33" s="60">
        <v>21</v>
      </c>
      <c r="B33" s="60" t="s">
        <v>36</v>
      </c>
      <c r="C33" s="60">
        <v>116</v>
      </c>
      <c r="D33" s="60">
        <v>200</v>
      </c>
      <c r="E33" s="32"/>
      <c r="F33" s="14"/>
      <c r="G33" s="32">
        <v>46125</v>
      </c>
      <c r="H33" s="14">
        <v>45</v>
      </c>
      <c r="I33" s="32"/>
      <c r="J33" s="14"/>
      <c r="K33" s="60">
        <v>245</v>
      </c>
    </row>
    <row r="34" spans="1:11" ht="15.75" x14ac:dyDescent="0.25">
      <c r="A34" s="61"/>
      <c r="B34" s="61"/>
      <c r="C34" s="61"/>
      <c r="D34" s="61"/>
      <c r="E34" s="32"/>
      <c r="F34" s="14"/>
      <c r="G34" s="32">
        <v>46167</v>
      </c>
      <c r="H34" s="14">
        <v>200</v>
      </c>
      <c r="I34" s="32"/>
      <c r="J34" s="14"/>
      <c r="K34" s="61"/>
    </row>
    <row r="35" spans="1:11" ht="15.75" x14ac:dyDescent="0.25">
      <c r="A35" s="14">
        <v>22</v>
      </c>
      <c r="B35" s="14" t="s">
        <v>42</v>
      </c>
      <c r="C35" s="14">
        <v>361</v>
      </c>
      <c r="D35" s="14">
        <v>300</v>
      </c>
      <c r="E35" s="32"/>
      <c r="F35" s="14"/>
      <c r="G35" s="32">
        <v>46167</v>
      </c>
      <c r="H35" s="14">
        <v>200</v>
      </c>
      <c r="I35" s="32"/>
      <c r="J35" s="14"/>
      <c r="K35" s="14">
        <v>200</v>
      </c>
    </row>
    <row r="36" spans="1:11" ht="15.75" x14ac:dyDescent="0.25">
      <c r="A36" s="60">
        <v>23</v>
      </c>
      <c r="B36" s="60" t="s">
        <v>44</v>
      </c>
      <c r="C36" s="60">
        <v>197</v>
      </c>
      <c r="D36" s="60">
        <v>100</v>
      </c>
      <c r="E36" s="32"/>
      <c r="F36" s="14"/>
      <c r="G36" s="32">
        <v>46125</v>
      </c>
      <c r="H36" s="14">
        <v>30</v>
      </c>
      <c r="I36" s="32"/>
      <c r="J36" s="14"/>
      <c r="K36" s="60">
        <v>130</v>
      </c>
    </row>
    <row r="37" spans="1:11" ht="15.75" x14ac:dyDescent="0.25">
      <c r="A37" s="61"/>
      <c r="B37" s="61"/>
      <c r="C37" s="61"/>
      <c r="D37" s="61"/>
      <c r="E37" s="32"/>
      <c r="F37" s="14"/>
      <c r="G37" s="32">
        <v>46167</v>
      </c>
      <c r="H37" s="14">
        <v>100</v>
      </c>
      <c r="I37" s="32"/>
      <c r="J37" s="14"/>
      <c r="K37" s="61"/>
    </row>
    <row r="38" spans="1:11" ht="15.75" x14ac:dyDescent="0.25">
      <c r="A38" s="14">
        <v>24</v>
      </c>
      <c r="B38" s="14" t="s">
        <v>50</v>
      </c>
      <c r="C38" s="14">
        <v>246</v>
      </c>
      <c r="D38" s="14">
        <v>200</v>
      </c>
      <c r="E38" s="32"/>
      <c r="F38" s="14"/>
      <c r="G38" s="32">
        <v>46167</v>
      </c>
      <c r="H38" s="14">
        <v>200</v>
      </c>
      <c r="I38" s="32"/>
      <c r="J38" s="14"/>
      <c r="K38" s="14">
        <v>200</v>
      </c>
    </row>
    <row r="39" spans="1:11" ht="15.75" x14ac:dyDescent="0.25">
      <c r="A39" s="14">
        <v>25</v>
      </c>
      <c r="B39" s="14" t="s">
        <v>52</v>
      </c>
      <c r="C39" s="14">
        <v>216</v>
      </c>
      <c r="D39" s="14">
        <v>200</v>
      </c>
      <c r="E39" s="32"/>
      <c r="F39" s="14"/>
      <c r="G39" s="32">
        <v>46167</v>
      </c>
      <c r="H39" s="14">
        <v>200</v>
      </c>
      <c r="I39" s="32"/>
      <c r="J39" s="14"/>
      <c r="K39" s="14">
        <v>200</v>
      </c>
    </row>
    <row r="40" spans="1:11" ht="15.75" x14ac:dyDescent="0.25">
      <c r="A40" s="60">
        <v>26</v>
      </c>
      <c r="B40" s="60" t="s">
        <v>58</v>
      </c>
      <c r="C40" s="60">
        <v>68</v>
      </c>
      <c r="D40" s="60">
        <v>80</v>
      </c>
      <c r="E40" s="32"/>
      <c r="F40" s="14"/>
      <c r="G40" s="32">
        <v>46125</v>
      </c>
      <c r="H40" s="14">
        <v>10</v>
      </c>
      <c r="I40" s="32"/>
      <c r="J40" s="14"/>
      <c r="K40" s="60">
        <v>60</v>
      </c>
    </row>
    <row r="41" spans="1:11" ht="15.75" x14ac:dyDescent="0.25">
      <c r="A41" s="61"/>
      <c r="B41" s="61"/>
      <c r="C41" s="61"/>
      <c r="D41" s="61"/>
      <c r="E41" s="32"/>
      <c r="F41" s="14"/>
      <c r="G41" s="32">
        <v>46167</v>
      </c>
      <c r="H41" s="14">
        <v>50</v>
      </c>
      <c r="I41" s="32"/>
      <c r="J41" s="14"/>
      <c r="K41" s="61"/>
    </row>
    <row r="42" spans="1:11" ht="15.75" x14ac:dyDescent="0.25">
      <c r="A42" s="14">
        <v>27</v>
      </c>
      <c r="B42" s="14" t="s">
        <v>60</v>
      </c>
      <c r="C42" s="14">
        <v>76</v>
      </c>
      <c r="D42" s="14">
        <v>0</v>
      </c>
      <c r="E42" s="32"/>
      <c r="F42" s="14"/>
      <c r="G42" s="32">
        <v>46125</v>
      </c>
      <c r="H42" s="14">
        <v>5</v>
      </c>
      <c r="I42" s="32"/>
      <c r="J42" s="14"/>
      <c r="K42" s="14">
        <v>5</v>
      </c>
    </row>
    <row r="43" spans="1:11" ht="15.75" x14ac:dyDescent="0.25">
      <c r="A43" s="60">
        <v>28</v>
      </c>
      <c r="B43" s="60" t="s">
        <v>198</v>
      </c>
      <c r="C43" s="60">
        <v>148</v>
      </c>
      <c r="D43" s="60">
        <v>180</v>
      </c>
      <c r="E43" s="32">
        <v>46144</v>
      </c>
      <c r="F43" s="14">
        <v>100</v>
      </c>
      <c r="G43" s="14"/>
      <c r="H43" s="14"/>
      <c r="I43" s="14"/>
      <c r="J43" s="14"/>
      <c r="K43" s="60">
        <v>180</v>
      </c>
    </row>
    <row r="44" spans="1:11" ht="15.75" x14ac:dyDescent="0.25">
      <c r="A44" s="61"/>
      <c r="B44" s="61"/>
      <c r="C44" s="61"/>
      <c r="D44" s="61"/>
      <c r="E44" s="32">
        <v>46144</v>
      </c>
      <c r="F44" s="14">
        <v>80</v>
      </c>
      <c r="G44" s="14"/>
      <c r="H44" s="14"/>
      <c r="I44" s="14"/>
      <c r="J44" s="14"/>
      <c r="K44" s="61"/>
    </row>
    <row r="45" spans="1:11" ht="15.75" x14ac:dyDescent="0.25">
      <c r="A45" s="60">
        <v>29</v>
      </c>
      <c r="B45" s="60" t="s">
        <v>200</v>
      </c>
      <c r="C45" s="60">
        <v>100</v>
      </c>
      <c r="D45" s="60">
        <v>130</v>
      </c>
      <c r="E45" s="32">
        <v>46144</v>
      </c>
      <c r="F45" s="14">
        <v>80</v>
      </c>
      <c r="G45" s="14"/>
      <c r="H45" s="14"/>
      <c r="I45" s="14"/>
      <c r="J45" s="14"/>
      <c r="K45" s="60">
        <v>130</v>
      </c>
    </row>
    <row r="46" spans="1:11" ht="15.75" x14ac:dyDescent="0.25">
      <c r="A46" s="61"/>
      <c r="B46" s="61"/>
      <c r="C46" s="61"/>
      <c r="D46" s="61"/>
      <c r="E46" s="32">
        <v>46144</v>
      </c>
      <c r="F46" s="14">
        <v>50</v>
      </c>
      <c r="G46" s="14"/>
      <c r="H46" s="14"/>
      <c r="I46" s="14"/>
      <c r="J46" s="14"/>
      <c r="K46" s="61"/>
    </row>
    <row r="47" spans="1:11" ht="15.75" x14ac:dyDescent="0.25">
      <c r="A47" s="14">
        <v>30</v>
      </c>
      <c r="B47" s="14" t="s">
        <v>210</v>
      </c>
      <c r="C47" s="14">
        <v>50</v>
      </c>
      <c r="D47" s="14">
        <v>0</v>
      </c>
      <c r="E47" s="14"/>
      <c r="F47" s="14"/>
      <c r="G47" s="14"/>
      <c r="H47" s="14"/>
      <c r="I47" s="14"/>
      <c r="J47" s="14"/>
      <c r="K47" s="33" t="s">
        <v>508</v>
      </c>
    </row>
    <row r="48" spans="1:11" ht="15.75" x14ac:dyDescent="0.25">
      <c r="A48" s="14">
        <v>31</v>
      </c>
      <c r="B48" s="14" t="s">
        <v>212</v>
      </c>
      <c r="C48" s="14">
        <v>46</v>
      </c>
      <c r="D48" s="14">
        <v>0</v>
      </c>
      <c r="E48" s="14"/>
      <c r="F48" s="14"/>
      <c r="G48" s="14"/>
      <c r="H48" s="14"/>
      <c r="I48" s="14"/>
      <c r="J48" s="14"/>
      <c r="K48" s="33" t="s">
        <v>508</v>
      </c>
    </row>
    <row r="49" spans="1:11" ht="15.75" x14ac:dyDescent="0.25">
      <c r="A49" s="14">
        <v>32</v>
      </c>
      <c r="B49" s="14" t="s">
        <v>202</v>
      </c>
      <c r="C49" s="14">
        <v>16</v>
      </c>
      <c r="D49" s="14">
        <v>30</v>
      </c>
      <c r="E49" s="32">
        <v>46144</v>
      </c>
      <c r="F49" s="14">
        <v>18</v>
      </c>
      <c r="G49" s="14"/>
      <c r="H49" s="14"/>
      <c r="I49" s="14"/>
      <c r="J49" s="14"/>
      <c r="K49" s="14">
        <v>18</v>
      </c>
    </row>
    <row r="50" spans="1:11" ht="15.75" x14ac:dyDescent="0.25">
      <c r="A50" s="60">
        <v>33</v>
      </c>
      <c r="B50" s="60" t="s">
        <v>204</v>
      </c>
      <c r="C50" s="60">
        <v>58</v>
      </c>
      <c r="D50" s="60">
        <v>80</v>
      </c>
      <c r="E50" s="32">
        <v>46144</v>
      </c>
      <c r="F50" s="14">
        <v>50</v>
      </c>
      <c r="G50" s="14"/>
      <c r="H50" s="14"/>
      <c r="I50" s="14"/>
      <c r="J50" s="14"/>
      <c r="K50" s="60">
        <v>80</v>
      </c>
    </row>
    <row r="51" spans="1:11" ht="15.75" x14ac:dyDescent="0.25">
      <c r="A51" s="61"/>
      <c r="B51" s="61"/>
      <c r="C51" s="61"/>
      <c r="D51" s="61"/>
      <c r="E51" s="32">
        <v>46144</v>
      </c>
      <c r="F51" s="14">
        <v>30</v>
      </c>
      <c r="G51" s="14"/>
      <c r="H51" s="14"/>
      <c r="I51" s="14"/>
      <c r="J51" s="14"/>
      <c r="K51" s="61"/>
    </row>
    <row r="52" spans="1:11" ht="15.75" x14ac:dyDescent="0.25">
      <c r="A52" s="14">
        <v>34</v>
      </c>
      <c r="B52" s="14" t="s">
        <v>206</v>
      </c>
      <c r="C52" s="14">
        <v>16</v>
      </c>
      <c r="D52" s="14">
        <v>10</v>
      </c>
      <c r="E52" s="32">
        <v>46144</v>
      </c>
      <c r="F52" s="14">
        <v>10</v>
      </c>
      <c r="G52" s="14"/>
      <c r="H52" s="14"/>
      <c r="I52" s="14"/>
      <c r="J52" s="14"/>
      <c r="K52" s="14">
        <v>10</v>
      </c>
    </row>
    <row r="53" spans="1:11" ht="15.75" x14ac:dyDescent="0.25">
      <c r="A53" s="60">
        <v>35</v>
      </c>
      <c r="B53" s="60" t="s">
        <v>208</v>
      </c>
      <c r="C53" s="60">
        <v>25</v>
      </c>
      <c r="D53" s="60">
        <v>20</v>
      </c>
      <c r="E53" s="32">
        <v>46144</v>
      </c>
      <c r="F53" s="14">
        <v>10</v>
      </c>
      <c r="G53" s="14"/>
      <c r="H53" s="14"/>
      <c r="I53" s="14"/>
      <c r="J53" s="14"/>
      <c r="K53" s="60">
        <v>20</v>
      </c>
    </row>
    <row r="54" spans="1:11" ht="15.75" x14ac:dyDescent="0.25">
      <c r="A54" s="61"/>
      <c r="B54" s="61"/>
      <c r="C54" s="61"/>
      <c r="D54" s="61"/>
      <c r="E54" s="32">
        <v>46144</v>
      </c>
      <c r="F54" s="14">
        <v>10</v>
      </c>
      <c r="G54" s="14"/>
      <c r="H54" s="14"/>
      <c r="I54" s="14"/>
      <c r="J54" s="14"/>
      <c r="K54" s="61"/>
    </row>
    <row r="55" spans="1:11" ht="15.75" x14ac:dyDescent="0.25">
      <c r="A55" s="60">
        <v>36</v>
      </c>
      <c r="B55" s="60" t="s">
        <v>152</v>
      </c>
      <c r="C55" s="60">
        <v>22</v>
      </c>
      <c r="D55" s="60">
        <v>50</v>
      </c>
      <c r="E55" s="32">
        <v>46144</v>
      </c>
      <c r="F55" s="14">
        <v>20</v>
      </c>
      <c r="G55" s="14"/>
      <c r="H55" s="14"/>
      <c r="I55" s="14"/>
      <c r="J55" s="14"/>
      <c r="K55" s="60">
        <v>50</v>
      </c>
    </row>
    <row r="56" spans="1:11" ht="15.75" x14ac:dyDescent="0.25">
      <c r="A56" s="61"/>
      <c r="B56" s="61"/>
      <c r="C56" s="61"/>
      <c r="D56" s="61"/>
      <c r="E56" s="32">
        <v>46144</v>
      </c>
      <c r="F56" s="14">
        <v>30</v>
      </c>
      <c r="G56" s="14"/>
      <c r="H56" s="14"/>
      <c r="I56" s="14"/>
      <c r="J56" s="14"/>
      <c r="K56" s="61"/>
    </row>
    <row r="57" spans="1:11" ht="15.75" x14ac:dyDescent="0.25">
      <c r="A57" s="14">
        <v>37</v>
      </c>
      <c r="B57" s="14" t="s">
        <v>154</v>
      </c>
      <c r="C57" s="14">
        <v>19</v>
      </c>
      <c r="D57" s="14">
        <v>20</v>
      </c>
      <c r="E57" s="32">
        <v>46144</v>
      </c>
      <c r="F57" s="14">
        <v>20</v>
      </c>
      <c r="G57" s="14"/>
      <c r="H57" s="14"/>
      <c r="I57" s="14"/>
      <c r="J57" s="14"/>
      <c r="K57" s="14">
        <v>20</v>
      </c>
    </row>
    <row r="58" spans="1:11" ht="15.75" x14ac:dyDescent="0.25">
      <c r="A58" s="60">
        <v>38</v>
      </c>
      <c r="B58" s="60" t="s">
        <v>156</v>
      </c>
      <c r="C58" s="60">
        <v>29</v>
      </c>
      <c r="D58" s="60">
        <v>50</v>
      </c>
      <c r="E58" s="32">
        <v>46144</v>
      </c>
      <c r="F58" s="14">
        <v>30</v>
      </c>
      <c r="G58" s="14"/>
      <c r="H58" s="14"/>
      <c r="I58" s="14"/>
      <c r="J58" s="14"/>
      <c r="K58" s="60">
        <v>50</v>
      </c>
    </row>
    <row r="59" spans="1:11" ht="15.75" x14ac:dyDescent="0.25">
      <c r="A59" s="61"/>
      <c r="B59" s="61"/>
      <c r="C59" s="61"/>
      <c r="D59" s="61"/>
      <c r="E59" s="32">
        <v>46144</v>
      </c>
      <c r="F59" s="14">
        <v>20</v>
      </c>
      <c r="G59" s="14"/>
      <c r="H59" s="14"/>
      <c r="I59" s="14"/>
      <c r="J59" s="14"/>
      <c r="K59" s="61"/>
    </row>
    <row r="60" spans="1:11" ht="15.75" x14ac:dyDescent="0.25">
      <c r="A60" s="60" t="s">
        <v>516</v>
      </c>
      <c r="B60" s="60" t="s">
        <v>158</v>
      </c>
      <c r="C60" s="60">
        <v>9</v>
      </c>
      <c r="D60" s="60">
        <v>11</v>
      </c>
      <c r="E60" s="32">
        <v>46144</v>
      </c>
      <c r="F60" s="14">
        <v>1</v>
      </c>
      <c r="G60" s="14"/>
      <c r="H60" s="14"/>
      <c r="I60" s="14"/>
      <c r="J60" s="14"/>
      <c r="K60" s="60">
        <v>11</v>
      </c>
    </row>
    <row r="61" spans="1:11" ht="15.75" x14ac:dyDescent="0.25">
      <c r="A61" s="61"/>
      <c r="B61" s="61"/>
      <c r="C61" s="61"/>
      <c r="D61" s="61"/>
      <c r="E61" s="32">
        <v>46144</v>
      </c>
      <c r="F61" s="14">
        <v>10</v>
      </c>
      <c r="G61" s="14"/>
      <c r="H61" s="14"/>
      <c r="I61" s="14"/>
      <c r="J61" s="14"/>
      <c r="K61" s="61"/>
    </row>
    <row r="62" spans="1:11" ht="15.75" x14ac:dyDescent="0.25">
      <c r="A62" s="14">
        <v>40</v>
      </c>
      <c r="B62" s="14" t="s">
        <v>160</v>
      </c>
      <c r="C62" s="14">
        <v>7</v>
      </c>
      <c r="D62" s="14">
        <v>0</v>
      </c>
      <c r="E62" s="14"/>
      <c r="F62" s="14"/>
      <c r="G62" s="14"/>
      <c r="H62" s="14"/>
      <c r="I62" s="14"/>
      <c r="J62" s="14"/>
      <c r="K62" s="33" t="s">
        <v>508</v>
      </c>
    </row>
    <row r="63" spans="1:11" ht="15.75" x14ac:dyDescent="0.25">
      <c r="A63" s="60">
        <v>41</v>
      </c>
      <c r="B63" s="60" t="s">
        <v>226</v>
      </c>
      <c r="C63" s="60">
        <v>8</v>
      </c>
      <c r="D63" s="60">
        <v>60</v>
      </c>
      <c r="E63" s="32">
        <v>46144</v>
      </c>
      <c r="F63" s="14">
        <v>30</v>
      </c>
      <c r="G63" s="14"/>
      <c r="H63" s="14"/>
      <c r="I63" s="14"/>
      <c r="J63" s="14"/>
      <c r="K63" s="60">
        <v>60</v>
      </c>
    </row>
    <row r="64" spans="1:11" ht="15.75" x14ac:dyDescent="0.25">
      <c r="A64" s="61"/>
      <c r="B64" s="61"/>
      <c r="C64" s="61"/>
      <c r="D64" s="61"/>
      <c r="E64" s="32">
        <v>46144</v>
      </c>
      <c r="F64" s="14">
        <v>30</v>
      </c>
      <c r="G64" s="14"/>
      <c r="H64" s="14"/>
      <c r="I64" s="14"/>
      <c r="J64" s="14"/>
      <c r="K64" s="61"/>
    </row>
    <row r="65" spans="1:11" ht="15.75" x14ac:dyDescent="0.25">
      <c r="A65" s="60">
        <v>42</v>
      </c>
      <c r="B65" s="60" t="s">
        <v>228</v>
      </c>
      <c r="C65" s="60">
        <v>35</v>
      </c>
      <c r="D65" s="60">
        <v>60</v>
      </c>
      <c r="E65" s="32">
        <v>46144</v>
      </c>
      <c r="F65" s="14">
        <v>30</v>
      </c>
      <c r="G65" s="14"/>
      <c r="H65" s="14"/>
      <c r="I65" s="14"/>
      <c r="J65" s="14"/>
      <c r="K65" s="60">
        <v>60</v>
      </c>
    </row>
    <row r="66" spans="1:11" ht="15.75" x14ac:dyDescent="0.25">
      <c r="A66" s="61"/>
      <c r="B66" s="61"/>
      <c r="C66" s="61"/>
      <c r="D66" s="61"/>
      <c r="E66" s="32">
        <v>46144</v>
      </c>
      <c r="F66" s="14">
        <v>30</v>
      </c>
      <c r="G66" s="14"/>
      <c r="H66" s="14"/>
      <c r="I66" s="14"/>
      <c r="J66" s="14"/>
      <c r="K66" s="61"/>
    </row>
    <row r="67" spans="1:11" ht="15.75" x14ac:dyDescent="0.25">
      <c r="A67" s="60">
        <v>43</v>
      </c>
      <c r="B67" s="60" t="s">
        <v>231</v>
      </c>
      <c r="C67" s="60">
        <v>6</v>
      </c>
      <c r="D67" s="60">
        <v>50</v>
      </c>
      <c r="E67" s="32">
        <v>46144</v>
      </c>
      <c r="F67" s="14">
        <v>30</v>
      </c>
      <c r="G67" s="14"/>
      <c r="H67" s="14"/>
      <c r="I67" s="14"/>
      <c r="J67" s="14"/>
      <c r="K67" s="60">
        <v>50</v>
      </c>
    </row>
    <row r="68" spans="1:11" ht="15.75" x14ac:dyDescent="0.25">
      <c r="A68" s="61"/>
      <c r="B68" s="61"/>
      <c r="C68" s="61"/>
      <c r="D68" s="61"/>
      <c r="E68" s="32">
        <v>46144</v>
      </c>
      <c r="F68" s="14">
        <v>20</v>
      </c>
      <c r="G68" s="14"/>
      <c r="H68" s="14"/>
      <c r="I68" s="14"/>
      <c r="J68" s="14"/>
      <c r="K68" s="61"/>
    </row>
    <row r="69" spans="1:11" ht="15.75" x14ac:dyDescent="0.25">
      <c r="A69" s="14">
        <v>44</v>
      </c>
      <c r="B69" s="14" t="s">
        <v>232</v>
      </c>
      <c r="C69" s="14">
        <v>20</v>
      </c>
      <c r="D69" s="14">
        <v>30</v>
      </c>
      <c r="E69" s="32"/>
      <c r="F69" s="14"/>
      <c r="G69" s="14"/>
      <c r="H69" s="14"/>
      <c r="I69" s="14"/>
      <c r="J69" s="14"/>
      <c r="K69" s="33" t="s">
        <v>508</v>
      </c>
    </row>
    <row r="70" spans="1:11" ht="15.75" x14ac:dyDescent="0.25">
      <c r="A70" s="60">
        <v>45</v>
      </c>
      <c r="B70" s="60" t="s">
        <v>133</v>
      </c>
      <c r="C70" s="60">
        <v>270</v>
      </c>
      <c r="D70" s="60">
        <v>254</v>
      </c>
      <c r="E70" s="32">
        <v>46144</v>
      </c>
      <c r="F70" s="14">
        <v>104</v>
      </c>
      <c r="G70" s="14"/>
      <c r="H70" s="14"/>
      <c r="I70" s="14"/>
      <c r="J70" s="14"/>
      <c r="K70" s="60">
        <f>F70+F71</f>
        <v>254</v>
      </c>
    </row>
    <row r="71" spans="1:11" ht="15.75" x14ac:dyDescent="0.25">
      <c r="A71" s="61"/>
      <c r="B71" s="61"/>
      <c r="C71" s="61"/>
      <c r="D71" s="61"/>
      <c r="E71" s="32">
        <v>46144</v>
      </c>
      <c r="F71" s="14">
        <v>150</v>
      </c>
      <c r="G71" s="14"/>
      <c r="H71" s="14"/>
      <c r="I71" s="14"/>
      <c r="J71" s="14"/>
      <c r="K71" s="61"/>
    </row>
    <row r="72" spans="1:11" ht="15.75" x14ac:dyDescent="0.25">
      <c r="A72" s="60">
        <v>46</v>
      </c>
      <c r="B72" s="60" t="s">
        <v>135</v>
      </c>
      <c r="C72" s="60">
        <v>209</v>
      </c>
      <c r="D72" s="60">
        <v>150</v>
      </c>
      <c r="E72" s="32">
        <v>46144</v>
      </c>
      <c r="F72" s="14">
        <v>50</v>
      </c>
      <c r="G72" s="14"/>
      <c r="H72" s="14"/>
      <c r="I72" s="14"/>
      <c r="J72" s="14"/>
      <c r="K72" s="60">
        <v>150</v>
      </c>
    </row>
    <row r="73" spans="1:11" ht="15.75" x14ac:dyDescent="0.25">
      <c r="A73" s="61"/>
      <c r="B73" s="61"/>
      <c r="C73" s="61"/>
      <c r="D73" s="61"/>
      <c r="E73" s="32">
        <v>46144</v>
      </c>
      <c r="F73" s="14">
        <v>100</v>
      </c>
      <c r="G73" s="14"/>
      <c r="H73" s="14"/>
      <c r="I73" s="14"/>
      <c r="J73" s="14"/>
      <c r="K73" s="61"/>
    </row>
    <row r="74" spans="1:11" ht="15.75" x14ac:dyDescent="0.25">
      <c r="A74" s="14">
        <v>47</v>
      </c>
      <c r="B74" s="14" t="s">
        <v>137</v>
      </c>
      <c r="C74" s="14">
        <v>174</v>
      </c>
      <c r="D74" s="14">
        <v>50</v>
      </c>
      <c r="E74" s="32">
        <v>46144</v>
      </c>
      <c r="F74" s="14">
        <v>50</v>
      </c>
      <c r="G74" s="14"/>
      <c r="H74" s="14"/>
      <c r="I74" s="14"/>
      <c r="J74" s="14"/>
      <c r="K74" s="14">
        <v>50</v>
      </c>
    </row>
    <row r="75" spans="1:11" ht="15.75" x14ac:dyDescent="0.25">
      <c r="A75" s="60">
        <v>48</v>
      </c>
      <c r="B75" s="60" t="s">
        <v>139</v>
      </c>
      <c r="C75" s="60">
        <v>133</v>
      </c>
      <c r="D75" s="60">
        <v>81</v>
      </c>
      <c r="E75" s="32">
        <v>46144</v>
      </c>
      <c r="F75" s="14">
        <v>31</v>
      </c>
      <c r="G75" s="14"/>
      <c r="H75" s="14"/>
      <c r="I75" s="14"/>
      <c r="J75" s="14"/>
      <c r="K75" s="60">
        <f>F75+F76</f>
        <v>81</v>
      </c>
    </row>
    <row r="76" spans="1:11" ht="15.75" x14ac:dyDescent="0.25">
      <c r="A76" s="61"/>
      <c r="B76" s="61"/>
      <c r="C76" s="61"/>
      <c r="D76" s="61"/>
      <c r="E76" s="32">
        <v>46144</v>
      </c>
      <c r="F76" s="14">
        <v>50</v>
      </c>
      <c r="G76" s="14"/>
      <c r="H76" s="14"/>
      <c r="I76" s="14"/>
      <c r="J76" s="14"/>
      <c r="K76" s="61"/>
    </row>
    <row r="77" spans="1:11" ht="15.75" x14ac:dyDescent="0.25">
      <c r="A77" s="60">
        <v>49</v>
      </c>
      <c r="B77" s="60" t="s">
        <v>169</v>
      </c>
      <c r="C77" s="60">
        <v>157</v>
      </c>
      <c r="D77" s="60">
        <v>59</v>
      </c>
      <c r="E77" s="32">
        <v>46144</v>
      </c>
      <c r="F77" s="14">
        <v>9</v>
      </c>
      <c r="G77" s="14"/>
      <c r="H77" s="14"/>
      <c r="I77" s="14"/>
      <c r="J77" s="14"/>
      <c r="K77" s="60">
        <f>F77+F78</f>
        <v>59</v>
      </c>
    </row>
    <row r="78" spans="1:11" ht="15.75" x14ac:dyDescent="0.25">
      <c r="A78" s="61"/>
      <c r="B78" s="61"/>
      <c r="C78" s="61"/>
      <c r="D78" s="61"/>
      <c r="E78" s="32">
        <v>46144</v>
      </c>
      <c r="F78" s="14">
        <v>50</v>
      </c>
      <c r="G78" s="14"/>
      <c r="H78" s="14"/>
      <c r="I78" s="14"/>
      <c r="J78" s="14"/>
      <c r="K78" s="61"/>
    </row>
    <row r="79" spans="1:11" ht="15.75" x14ac:dyDescent="0.25">
      <c r="A79" s="60">
        <v>50</v>
      </c>
      <c r="B79" s="60" t="s">
        <v>171</v>
      </c>
      <c r="C79" s="60">
        <v>67</v>
      </c>
      <c r="D79" s="60">
        <v>90</v>
      </c>
      <c r="E79" s="32">
        <v>46144</v>
      </c>
      <c r="F79" s="14">
        <v>40</v>
      </c>
      <c r="G79" s="14"/>
      <c r="H79" s="14"/>
      <c r="I79" s="14"/>
      <c r="J79" s="14"/>
      <c r="K79" s="60">
        <f>F79+F80</f>
        <v>90</v>
      </c>
    </row>
    <row r="80" spans="1:11" ht="15.75" x14ac:dyDescent="0.25">
      <c r="A80" s="61"/>
      <c r="B80" s="61"/>
      <c r="C80" s="61"/>
      <c r="D80" s="61"/>
      <c r="E80" s="32">
        <v>46144</v>
      </c>
      <c r="F80" s="14">
        <v>50</v>
      </c>
      <c r="G80" s="14"/>
      <c r="H80" s="14"/>
      <c r="I80" s="14"/>
      <c r="J80" s="14"/>
      <c r="K80" s="61"/>
    </row>
    <row r="81" spans="1:11" ht="15.75" x14ac:dyDescent="0.25">
      <c r="A81" s="14">
        <v>51</v>
      </c>
      <c r="B81" s="14" t="s">
        <v>173</v>
      </c>
      <c r="C81" s="14">
        <v>36</v>
      </c>
      <c r="D81" s="14">
        <v>0</v>
      </c>
      <c r="E81" s="14"/>
      <c r="F81" s="14"/>
      <c r="G81" s="14"/>
      <c r="H81" s="14"/>
      <c r="I81" s="14"/>
      <c r="J81" s="14"/>
      <c r="K81" s="33" t="s">
        <v>508</v>
      </c>
    </row>
    <row r="82" spans="1:11" ht="15.75" x14ac:dyDescent="0.25">
      <c r="A82" s="14">
        <v>52</v>
      </c>
      <c r="B82" s="14" t="s">
        <v>175</v>
      </c>
      <c r="C82" s="14">
        <v>34</v>
      </c>
      <c r="D82" s="14">
        <v>0</v>
      </c>
      <c r="E82" s="14"/>
      <c r="F82" s="14"/>
      <c r="G82" s="14"/>
      <c r="H82" s="14"/>
      <c r="I82" s="14"/>
      <c r="J82" s="14"/>
      <c r="K82" s="33" t="s">
        <v>508</v>
      </c>
    </row>
    <row r="83" spans="1:11" ht="15.75" x14ac:dyDescent="0.25">
      <c r="A83" s="60">
        <v>53</v>
      </c>
      <c r="B83" s="60" t="s">
        <v>153</v>
      </c>
      <c r="C83" s="60">
        <v>167</v>
      </c>
      <c r="D83" s="60">
        <v>67</v>
      </c>
      <c r="E83" s="32">
        <v>46144</v>
      </c>
      <c r="F83" s="14">
        <v>17</v>
      </c>
      <c r="G83" s="14"/>
      <c r="H83" s="14"/>
      <c r="I83" s="14"/>
      <c r="J83" s="14"/>
      <c r="K83" s="60">
        <f>F83+F84</f>
        <v>67</v>
      </c>
    </row>
    <row r="84" spans="1:11" ht="15.75" x14ac:dyDescent="0.25">
      <c r="A84" s="61"/>
      <c r="B84" s="61"/>
      <c r="C84" s="61"/>
      <c r="D84" s="61"/>
      <c r="E84" s="32">
        <v>46144</v>
      </c>
      <c r="F84" s="14">
        <v>50</v>
      </c>
      <c r="G84" s="14"/>
      <c r="H84" s="14"/>
      <c r="I84" s="14"/>
      <c r="J84" s="14"/>
      <c r="K84" s="61"/>
    </row>
    <row r="85" spans="1:11" ht="15.75" x14ac:dyDescent="0.25">
      <c r="A85" s="14">
        <v>54</v>
      </c>
      <c r="B85" s="14" t="s">
        <v>155</v>
      </c>
      <c r="C85" s="14">
        <v>6</v>
      </c>
      <c r="D85" s="14">
        <v>50</v>
      </c>
      <c r="E85" s="32">
        <v>46144</v>
      </c>
      <c r="F85" s="14">
        <v>11</v>
      </c>
      <c r="G85" s="14"/>
      <c r="H85" s="14"/>
      <c r="I85" s="14"/>
      <c r="J85" s="14"/>
      <c r="K85" s="14">
        <v>11</v>
      </c>
    </row>
    <row r="86" spans="1:11" ht="15.75" x14ac:dyDescent="0.25">
      <c r="A86" s="14">
        <v>55</v>
      </c>
      <c r="B86" s="14" t="s">
        <v>159</v>
      </c>
      <c r="C86" s="14">
        <v>26</v>
      </c>
      <c r="D86" s="14">
        <v>0</v>
      </c>
      <c r="E86" s="14" t="s">
        <v>511</v>
      </c>
      <c r="F86" s="14">
        <v>30</v>
      </c>
      <c r="G86" s="14"/>
      <c r="H86" s="14"/>
      <c r="I86" s="14"/>
      <c r="J86" s="14"/>
      <c r="K86" s="14">
        <v>30</v>
      </c>
    </row>
    <row r="87" spans="1:11" ht="15.75" x14ac:dyDescent="0.25">
      <c r="A87" s="14">
        <v>56</v>
      </c>
      <c r="B87" s="14" t="s">
        <v>185</v>
      </c>
      <c r="C87" s="14">
        <v>48</v>
      </c>
      <c r="D87" s="14">
        <v>30</v>
      </c>
      <c r="E87" s="32">
        <v>46144</v>
      </c>
      <c r="F87" s="14">
        <v>30</v>
      </c>
      <c r="G87" s="14"/>
      <c r="H87" s="14"/>
      <c r="I87" s="14"/>
      <c r="J87" s="14"/>
      <c r="K87" s="14">
        <v>30</v>
      </c>
    </row>
    <row r="88" spans="1:11" ht="15.75" x14ac:dyDescent="0.25">
      <c r="A88" s="14">
        <v>57</v>
      </c>
      <c r="B88" s="14" t="s">
        <v>187</v>
      </c>
      <c r="C88" s="14">
        <v>20</v>
      </c>
      <c r="D88" s="14">
        <v>30</v>
      </c>
      <c r="E88" s="32">
        <v>46144</v>
      </c>
      <c r="F88" s="14">
        <v>30</v>
      </c>
      <c r="G88" s="14"/>
      <c r="H88" s="14"/>
      <c r="I88" s="14"/>
      <c r="J88" s="14"/>
      <c r="K88" s="14">
        <v>30</v>
      </c>
    </row>
    <row r="89" spans="1:11" ht="15.75" x14ac:dyDescent="0.25">
      <c r="A89" s="14">
        <v>58</v>
      </c>
      <c r="B89" s="30" t="s">
        <v>205</v>
      </c>
      <c r="C89" s="14">
        <v>24</v>
      </c>
      <c r="D89" s="14">
        <v>30</v>
      </c>
      <c r="E89" s="32">
        <v>46144</v>
      </c>
      <c r="F89" s="14">
        <v>30</v>
      </c>
      <c r="G89" s="14"/>
      <c r="H89" s="14"/>
      <c r="I89" s="14"/>
      <c r="J89" s="14"/>
      <c r="K89" s="14">
        <v>30</v>
      </c>
    </row>
    <row r="90" spans="1:11" ht="15.75" x14ac:dyDescent="0.25">
      <c r="A90" s="60">
        <v>59</v>
      </c>
      <c r="B90" s="65" t="s">
        <v>207</v>
      </c>
      <c r="C90" s="60">
        <v>37</v>
      </c>
      <c r="D90" s="60">
        <v>30</v>
      </c>
      <c r="E90" s="32">
        <v>46144</v>
      </c>
      <c r="F90" s="14">
        <v>30</v>
      </c>
      <c r="G90" s="14"/>
      <c r="H90" s="14"/>
      <c r="I90" s="14"/>
      <c r="J90" s="14"/>
      <c r="K90" s="60">
        <f>F90+F91</f>
        <v>60</v>
      </c>
    </row>
    <row r="91" spans="1:11" ht="15.75" x14ac:dyDescent="0.25">
      <c r="A91" s="61"/>
      <c r="B91" s="66"/>
      <c r="C91" s="61"/>
      <c r="D91" s="61"/>
      <c r="E91" s="32">
        <v>46144</v>
      </c>
      <c r="F91" s="14">
        <v>30</v>
      </c>
      <c r="G91" s="14"/>
      <c r="H91" s="14"/>
      <c r="I91" s="14"/>
      <c r="J91" s="14"/>
      <c r="K91" s="61"/>
    </row>
    <row r="92" spans="1:11" ht="15.75" x14ac:dyDescent="0.25">
      <c r="A92" s="14">
        <v>60</v>
      </c>
      <c r="B92" s="30" t="s">
        <v>276</v>
      </c>
      <c r="C92" s="14">
        <v>70</v>
      </c>
      <c r="D92" s="14">
        <v>30</v>
      </c>
      <c r="E92" s="32">
        <v>46144</v>
      </c>
      <c r="F92" s="14">
        <v>30</v>
      </c>
      <c r="G92" s="14"/>
      <c r="H92" s="14"/>
      <c r="I92" s="14"/>
      <c r="J92" s="14"/>
      <c r="K92" s="14">
        <v>30</v>
      </c>
    </row>
    <row r="93" spans="1:11" ht="15.75" x14ac:dyDescent="0.25">
      <c r="A93" s="60">
        <v>61</v>
      </c>
      <c r="B93" s="65" t="s">
        <v>277</v>
      </c>
      <c r="C93" s="60">
        <v>41</v>
      </c>
      <c r="D93" s="60">
        <v>50</v>
      </c>
      <c r="E93" s="32">
        <v>46144</v>
      </c>
      <c r="F93" s="14">
        <v>20</v>
      </c>
      <c r="G93" s="14"/>
      <c r="H93" s="14"/>
      <c r="I93" s="14"/>
      <c r="J93" s="14"/>
      <c r="K93" s="60">
        <f>F93+F94</f>
        <v>50</v>
      </c>
    </row>
    <row r="94" spans="1:11" ht="15.75" x14ac:dyDescent="0.25">
      <c r="A94" s="61"/>
      <c r="B94" s="66"/>
      <c r="C94" s="61"/>
      <c r="D94" s="61"/>
      <c r="E94" s="32">
        <v>46144</v>
      </c>
      <c r="F94" s="14">
        <v>30</v>
      </c>
      <c r="G94" s="14"/>
      <c r="H94" s="14"/>
      <c r="I94" s="14"/>
      <c r="J94" s="14"/>
      <c r="K94" s="61"/>
    </row>
    <row r="95" spans="1:11" ht="15.75" x14ac:dyDescent="0.25">
      <c r="A95" s="14">
        <v>62</v>
      </c>
      <c r="B95" s="30" t="s">
        <v>278</v>
      </c>
      <c r="C95" s="14">
        <v>31</v>
      </c>
      <c r="D95" s="14">
        <v>20</v>
      </c>
      <c r="E95" s="32">
        <v>46144</v>
      </c>
      <c r="F95" s="14">
        <v>20</v>
      </c>
      <c r="G95" s="14"/>
      <c r="H95" s="14"/>
      <c r="I95" s="14"/>
      <c r="J95" s="14"/>
      <c r="K95" s="14">
        <v>20</v>
      </c>
    </row>
    <row r="96" spans="1:11" ht="15.75" x14ac:dyDescent="0.25">
      <c r="A96" s="60">
        <v>63</v>
      </c>
      <c r="B96" s="65" t="s">
        <v>279</v>
      </c>
      <c r="C96" s="60">
        <v>24</v>
      </c>
      <c r="D96" s="60">
        <v>30</v>
      </c>
      <c r="E96" s="32">
        <v>46144</v>
      </c>
      <c r="F96" s="14">
        <v>10</v>
      </c>
      <c r="G96" s="14"/>
      <c r="H96" s="14"/>
      <c r="I96" s="14"/>
      <c r="J96" s="14"/>
      <c r="K96" s="60">
        <f>F96+F97</f>
        <v>30</v>
      </c>
    </row>
    <row r="97" spans="1:11" ht="15.75" x14ac:dyDescent="0.25">
      <c r="A97" s="61"/>
      <c r="B97" s="66"/>
      <c r="C97" s="61"/>
      <c r="D97" s="61"/>
      <c r="E97" s="32">
        <v>46144</v>
      </c>
      <c r="F97" s="14">
        <v>20</v>
      </c>
      <c r="G97" s="14"/>
      <c r="H97" s="14"/>
      <c r="I97" s="14"/>
      <c r="J97" s="14"/>
      <c r="K97" s="61"/>
    </row>
    <row r="98" spans="1:11" ht="15.75" x14ac:dyDescent="0.25">
      <c r="A98" s="14">
        <v>64</v>
      </c>
      <c r="B98" s="30" t="s">
        <v>280</v>
      </c>
      <c r="C98" s="14">
        <v>13</v>
      </c>
      <c r="D98" s="14">
        <v>0</v>
      </c>
      <c r="E98" s="14"/>
      <c r="F98" s="14"/>
      <c r="G98" s="14"/>
      <c r="H98" s="14"/>
      <c r="I98" s="14"/>
      <c r="J98" s="14"/>
      <c r="K98" s="33" t="s">
        <v>508</v>
      </c>
    </row>
    <row r="99" spans="1:11" ht="15.75" x14ac:dyDescent="0.25">
      <c r="A99" s="14">
        <v>65</v>
      </c>
      <c r="B99" s="30" t="s">
        <v>281</v>
      </c>
      <c r="C99" s="14">
        <v>11</v>
      </c>
      <c r="D99" s="14">
        <v>0</v>
      </c>
      <c r="E99" s="14"/>
      <c r="F99" s="14"/>
      <c r="G99" s="14"/>
      <c r="H99" s="14"/>
      <c r="I99" s="14"/>
      <c r="J99" s="14"/>
      <c r="K99" s="33" t="s">
        <v>508</v>
      </c>
    </row>
    <row r="100" spans="1:11" ht="15.75" x14ac:dyDescent="0.25">
      <c r="A100" s="60">
        <v>66</v>
      </c>
      <c r="B100" s="65" t="s">
        <v>282</v>
      </c>
      <c r="C100" s="60">
        <v>37</v>
      </c>
      <c r="D100" s="60">
        <v>50</v>
      </c>
      <c r="E100" s="32">
        <v>46144</v>
      </c>
      <c r="F100" s="14">
        <v>20</v>
      </c>
      <c r="G100" s="14"/>
      <c r="H100" s="14"/>
      <c r="I100" s="14"/>
      <c r="J100" s="14"/>
      <c r="K100" s="60">
        <f>F100+F101</f>
        <v>50</v>
      </c>
    </row>
    <row r="101" spans="1:11" ht="15.75" x14ac:dyDescent="0.25">
      <c r="A101" s="61"/>
      <c r="B101" s="66"/>
      <c r="C101" s="61"/>
      <c r="D101" s="61"/>
      <c r="E101" s="32">
        <v>46144</v>
      </c>
      <c r="F101" s="14">
        <v>30</v>
      </c>
      <c r="G101" s="14"/>
      <c r="H101" s="14"/>
      <c r="I101" s="14"/>
      <c r="J101" s="14"/>
      <c r="K101" s="61"/>
    </row>
    <row r="102" spans="1:11" ht="15.75" x14ac:dyDescent="0.25">
      <c r="A102" s="14">
        <v>67</v>
      </c>
      <c r="B102" s="30" t="s">
        <v>283</v>
      </c>
      <c r="C102" s="14">
        <v>2</v>
      </c>
      <c r="D102" s="14">
        <v>30</v>
      </c>
      <c r="E102" s="32">
        <v>46144</v>
      </c>
      <c r="F102" s="14">
        <v>15</v>
      </c>
      <c r="G102" s="14"/>
      <c r="H102" s="14"/>
      <c r="I102" s="14"/>
      <c r="J102" s="14"/>
      <c r="K102" s="14">
        <v>15</v>
      </c>
    </row>
    <row r="103" spans="1:11" ht="15.75" x14ac:dyDescent="0.25">
      <c r="A103" s="14">
        <v>68</v>
      </c>
      <c r="B103" s="30" t="s">
        <v>284</v>
      </c>
      <c r="C103" s="14">
        <v>27</v>
      </c>
      <c r="D103" s="14">
        <v>20</v>
      </c>
      <c r="E103" s="32">
        <v>46144</v>
      </c>
      <c r="F103" s="14">
        <v>20</v>
      </c>
      <c r="G103" s="14"/>
      <c r="H103" s="14"/>
      <c r="I103" s="14"/>
      <c r="J103" s="14"/>
      <c r="K103" s="14">
        <v>20</v>
      </c>
    </row>
    <row r="104" spans="1:11" ht="15.75" x14ac:dyDescent="0.25">
      <c r="A104" s="14">
        <v>69</v>
      </c>
      <c r="B104" s="30" t="s">
        <v>285</v>
      </c>
      <c r="C104" s="14">
        <v>9</v>
      </c>
      <c r="D104" s="14">
        <v>20</v>
      </c>
      <c r="E104" s="32">
        <v>46144</v>
      </c>
      <c r="F104" s="14">
        <v>20</v>
      </c>
      <c r="G104" s="14"/>
      <c r="H104" s="14"/>
      <c r="I104" s="14"/>
      <c r="J104" s="14"/>
      <c r="K104" s="14">
        <v>20</v>
      </c>
    </row>
    <row r="105" spans="1:11" ht="15.75" x14ac:dyDescent="0.25">
      <c r="A105" s="14">
        <v>70</v>
      </c>
      <c r="B105" s="30" t="s">
        <v>292</v>
      </c>
      <c r="C105" s="14">
        <v>10</v>
      </c>
      <c r="D105" s="14">
        <v>30</v>
      </c>
      <c r="E105" s="32">
        <v>46144</v>
      </c>
      <c r="F105" s="14">
        <v>20</v>
      </c>
      <c r="G105" s="14"/>
      <c r="H105" s="14"/>
      <c r="I105" s="14"/>
      <c r="J105" s="14"/>
      <c r="K105" s="14">
        <v>20</v>
      </c>
    </row>
    <row r="106" spans="1:11" ht="15.75" x14ac:dyDescent="0.25">
      <c r="A106" s="14">
        <v>71</v>
      </c>
      <c r="B106" s="30" t="s">
        <v>293</v>
      </c>
      <c r="C106" s="14">
        <v>23</v>
      </c>
      <c r="D106" s="14">
        <v>20</v>
      </c>
      <c r="E106" s="32">
        <v>46144</v>
      </c>
      <c r="F106" s="14">
        <v>20</v>
      </c>
      <c r="G106" s="14"/>
      <c r="H106" s="14"/>
      <c r="I106" s="14"/>
      <c r="J106" s="14"/>
      <c r="K106" s="14">
        <v>20</v>
      </c>
    </row>
    <row r="107" spans="1:11" ht="15.75" x14ac:dyDescent="0.25">
      <c r="A107" s="60">
        <v>72</v>
      </c>
      <c r="B107" s="63" t="s">
        <v>125</v>
      </c>
      <c r="C107" s="60">
        <v>159</v>
      </c>
      <c r="D107" s="60">
        <v>200</v>
      </c>
      <c r="E107" s="32">
        <v>46144</v>
      </c>
      <c r="F107" s="14">
        <v>100</v>
      </c>
      <c r="G107" s="14"/>
      <c r="H107" s="14"/>
      <c r="I107" s="14"/>
      <c r="J107" s="14"/>
      <c r="K107" s="60">
        <f>F107+F108</f>
        <v>200</v>
      </c>
    </row>
    <row r="108" spans="1:11" ht="15.75" x14ac:dyDescent="0.25">
      <c r="A108" s="61"/>
      <c r="B108" s="64"/>
      <c r="C108" s="61"/>
      <c r="D108" s="61"/>
      <c r="E108" s="32">
        <v>46144</v>
      </c>
      <c r="F108" s="14">
        <v>100</v>
      </c>
      <c r="G108" s="14"/>
      <c r="H108" s="14"/>
      <c r="I108" s="14"/>
      <c r="J108" s="14"/>
      <c r="K108" s="61"/>
    </row>
    <row r="109" spans="1:11" ht="15.75" x14ac:dyDescent="0.25">
      <c r="A109" s="14">
        <v>73</v>
      </c>
      <c r="B109" s="31" t="s">
        <v>127</v>
      </c>
      <c r="C109" s="14">
        <v>39</v>
      </c>
      <c r="D109" s="14">
        <v>50</v>
      </c>
      <c r="E109" s="32">
        <v>46144</v>
      </c>
      <c r="F109" s="14">
        <v>50</v>
      </c>
      <c r="G109" s="14"/>
      <c r="H109" s="14"/>
      <c r="I109" s="14"/>
      <c r="J109" s="14"/>
      <c r="K109" s="14">
        <v>50</v>
      </c>
    </row>
    <row r="110" spans="1:11" ht="15.75" x14ac:dyDescent="0.25">
      <c r="A110" s="14">
        <v>74</v>
      </c>
      <c r="B110" s="31" t="s">
        <v>121</v>
      </c>
      <c r="C110" s="14">
        <v>75</v>
      </c>
      <c r="D110" s="14">
        <v>100</v>
      </c>
      <c r="E110" s="32">
        <v>46144</v>
      </c>
      <c r="F110" s="14">
        <v>100</v>
      </c>
      <c r="G110" s="14"/>
      <c r="H110" s="14"/>
      <c r="I110" s="14"/>
      <c r="J110" s="14"/>
      <c r="K110" s="14">
        <v>100</v>
      </c>
    </row>
    <row r="111" spans="1:11" ht="15.75" x14ac:dyDescent="0.25">
      <c r="A111" s="14">
        <v>75</v>
      </c>
      <c r="B111" s="31" t="s">
        <v>129</v>
      </c>
      <c r="C111" s="14">
        <v>11</v>
      </c>
      <c r="D111" s="14">
        <v>30</v>
      </c>
      <c r="E111" s="32">
        <v>46144</v>
      </c>
      <c r="F111" s="14">
        <v>30</v>
      </c>
      <c r="G111" s="14"/>
      <c r="H111" s="14"/>
      <c r="I111" s="14"/>
      <c r="J111" s="14"/>
      <c r="K111" s="14">
        <v>30</v>
      </c>
    </row>
    <row r="112" spans="1:11" ht="15.75" x14ac:dyDescent="0.25">
      <c r="A112" s="60">
        <v>76</v>
      </c>
      <c r="B112" s="63" t="s">
        <v>85</v>
      </c>
      <c r="C112" s="60">
        <v>95</v>
      </c>
      <c r="D112" s="60">
        <v>114</v>
      </c>
      <c r="E112" s="32">
        <v>46144</v>
      </c>
      <c r="F112" s="14">
        <v>64</v>
      </c>
      <c r="G112" s="14"/>
      <c r="H112" s="14"/>
      <c r="I112" s="14"/>
      <c r="J112" s="14"/>
      <c r="K112" s="60">
        <f>F112+F113</f>
        <v>114</v>
      </c>
    </row>
    <row r="113" spans="1:11" ht="15.75" x14ac:dyDescent="0.25">
      <c r="A113" s="61"/>
      <c r="B113" s="64"/>
      <c r="C113" s="61"/>
      <c r="D113" s="61"/>
      <c r="E113" s="32">
        <v>46144</v>
      </c>
      <c r="F113" s="14">
        <v>50</v>
      </c>
      <c r="G113" s="14"/>
      <c r="H113" s="14"/>
      <c r="I113" s="14"/>
      <c r="J113" s="14"/>
      <c r="K113" s="61"/>
    </row>
    <row r="114" spans="1:11" ht="15.75" x14ac:dyDescent="0.25">
      <c r="A114" s="60">
        <v>77</v>
      </c>
      <c r="B114" s="63" t="s">
        <v>87</v>
      </c>
      <c r="C114" s="60">
        <v>61</v>
      </c>
      <c r="D114" s="60">
        <v>98</v>
      </c>
      <c r="E114" s="32">
        <v>46144</v>
      </c>
      <c r="F114" s="14">
        <v>48</v>
      </c>
      <c r="G114" s="14"/>
      <c r="H114" s="14"/>
      <c r="I114" s="14"/>
      <c r="J114" s="14"/>
      <c r="K114" s="60">
        <f>F114+F115</f>
        <v>98</v>
      </c>
    </row>
    <row r="115" spans="1:11" ht="15.75" x14ac:dyDescent="0.25">
      <c r="A115" s="61"/>
      <c r="B115" s="64"/>
      <c r="C115" s="61"/>
      <c r="D115" s="61"/>
      <c r="E115" s="32">
        <v>46144</v>
      </c>
      <c r="F115" s="14">
        <v>50</v>
      </c>
      <c r="G115" s="14"/>
      <c r="H115" s="14"/>
      <c r="I115" s="14"/>
      <c r="J115" s="14"/>
      <c r="K115" s="61"/>
    </row>
    <row r="116" spans="1:11" ht="15.75" x14ac:dyDescent="0.25">
      <c r="A116" s="14">
        <v>78</v>
      </c>
      <c r="B116" s="31" t="s">
        <v>105</v>
      </c>
      <c r="C116" s="14">
        <v>124</v>
      </c>
      <c r="D116" s="14">
        <v>30</v>
      </c>
      <c r="E116" s="32">
        <v>46144</v>
      </c>
      <c r="F116" s="14">
        <v>30</v>
      </c>
      <c r="G116" s="14"/>
      <c r="H116" s="14"/>
      <c r="I116" s="14"/>
      <c r="J116" s="14"/>
      <c r="K116" s="14">
        <v>30</v>
      </c>
    </row>
    <row r="117" spans="1:11" ht="15.75" x14ac:dyDescent="0.25">
      <c r="A117" s="60">
        <v>79</v>
      </c>
      <c r="B117" s="63" t="s">
        <v>107</v>
      </c>
      <c r="C117" s="60">
        <v>106</v>
      </c>
      <c r="D117" s="60">
        <v>33</v>
      </c>
      <c r="E117" s="32">
        <v>46144</v>
      </c>
      <c r="F117" s="14">
        <v>3</v>
      </c>
      <c r="G117" s="14"/>
      <c r="H117" s="14"/>
      <c r="I117" s="14"/>
      <c r="J117" s="14"/>
      <c r="K117" s="60">
        <f>F117+F118</f>
        <v>33</v>
      </c>
    </row>
    <row r="118" spans="1:11" ht="15.75" x14ac:dyDescent="0.25">
      <c r="A118" s="61"/>
      <c r="B118" s="64"/>
      <c r="C118" s="61"/>
      <c r="D118" s="61"/>
      <c r="E118" s="32">
        <v>46144</v>
      </c>
      <c r="F118" s="14">
        <v>30</v>
      </c>
      <c r="G118" s="14"/>
      <c r="H118" s="14"/>
      <c r="I118" s="14"/>
      <c r="J118" s="14"/>
      <c r="K118" s="61"/>
    </row>
    <row r="119" spans="1:11" ht="15.75" x14ac:dyDescent="0.25">
      <c r="A119" s="14">
        <v>80</v>
      </c>
      <c r="B119" s="14" t="s">
        <v>351</v>
      </c>
      <c r="C119" s="14">
        <v>68</v>
      </c>
      <c r="D119" s="14">
        <v>30</v>
      </c>
      <c r="E119" s="14"/>
      <c r="F119" s="14"/>
      <c r="G119" s="14"/>
      <c r="H119" s="14"/>
      <c r="I119" s="14"/>
      <c r="J119" s="14"/>
      <c r="K119" s="33" t="s">
        <v>508</v>
      </c>
    </row>
    <row r="120" spans="1:11" ht="15.75" x14ac:dyDescent="0.25">
      <c r="A120" s="14">
        <v>81</v>
      </c>
      <c r="B120" s="14" t="s">
        <v>512</v>
      </c>
      <c r="C120" s="14">
        <v>43</v>
      </c>
      <c r="D120" s="14">
        <v>20</v>
      </c>
      <c r="E120" s="32">
        <v>46144</v>
      </c>
      <c r="F120" s="14">
        <v>20</v>
      </c>
      <c r="G120" s="14"/>
      <c r="H120" s="14"/>
      <c r="I120" s="14"/>
      <c r="J120" s="14"/>
      <c r="K120" s="14">
        <v>20</v>
      </c>
    </row>
    <row r="121" spans="1:11" ht="15.75" x14ac:dyDescent="0.25">
      <c r="A121" s="60">
        <v>82</v>
      </c>
      <c r="B121" s="60" t="s">
        <v>354</v>
      </c>
      <c r="C121" s="60">
        <v>49</v>
      </c>
      <c r="D121" s="60">
        <v>50</v>
      </c>
      <c r="E121" s="32">
        <v>46144</v>
      </c>
      <c r="F121" s="14">
        <v>30</v>
      </c>
      <c r="G121" s="14"/>
      <c r="H121" s="14"/>
      <c r="I121" s="14"/>
      <c r="J121" s="14"/>
      <c r="K121" s="60">
        <f>F121+F122</f>
        <v>50</v>
      </c>
    </row>
    <row r="122" spans="1:11" ht="15.75" x14ac:dyDescent="0.25">
      <c r="A122" s="61"/>
      <c r="B122" s="61"/>
      <c r="C122" s="61"/>
      <c r="D122" s="61"/>
      <c r="E122" s="32">
        <v>46144</v>
      </c>
      <c r="F122" s="14">
        <v>20</v>
      </c>
      <c r="G122" s="14"/>
      <c r="H122" s="14"/>
      <c r="I122" s="14"/>
      <c r="J122" s="14"/>
      <c r="K122" s="61"/>
    </row>
    <row r="123" spans="1:11" ht="15.75" x14ac:dyDescent="0.25">
      <c r="A123" s="14">
        <v>83</v>
      </c>
      <c r="B123" s="14" t="s">
        <v>357</v>
      </c>
      <c r="C123" s="14">
        <v>84</v>
      </c>
      <c r="D123" s="14">
        <v>20</v>
      </c>
      <c r="E123" s="32">
        <v>46144</v>
      </c>
      <c r="F123" s="14">
        <v>20</v>
      </c>
      <c r="G123" s="14"/>
      <c r="H123" s="14"/>
      <c r="I123" s="14"/>
      <c r="J123" s="14"/>
      <c r="K123" s="14">
        <v>20</v>
      </c>
    </row>
    <row r="124" spans="1:11" ht="15.75" x14ac:dyDescent="0.25">
      <c r="A124" s="14">
        <v>84</v>
      </c>
      <c r="B124" s="14" t="s">
        <v>358</v>
      </c>
      <c r="C124" s="14">
        <v>25</v>
      </c>
      <c r="D124" s="14">
        <v>20</v>
      </c>
      <c r="E124" s="32">
        <v>46144</v>
      </c>
      <c r="F124" s="14">
        <v>20</v>
      </c>
      <c r="G124" s="14"/>
      <c r="H124" s="14"/>
      <c r="I124" s="14"/>
      <c r="J124" s="14"/>
      <c r="K124" s="14">
        <v>20</v>
      </c>
    </row>
    <row r="125" spans="1:11" ht="15.75" x14ac:dyDescent="0.25">
      <c r="A125" s="14">
        <v>85</v>
      </c>
      <c r="B125" s="14" t="s">
        <v>359</v>
      </c>
      <c r="C125" s="14">
        <v>92</v>
      </c>
      <c r="D125" s="14">
        <v>40</v>
      </c>
      <c r="E125" s="32">
        <v>46144</v>
      </c>
      <c r="F125" s="14">
        <v>40</v>
      </c>
      <c r="G125" s="14"/>
      <c r="H125" s="14"/>
      <c r="I125" s="14"/>
      <c r="J125" s="14"/>
      <c r="K125" s="14">
        <v>40</v>
      </c>
    </row>
    <row r="126" spans="1:11" ht="15.75" x14ac:dyDescent="0.25">
      <c r="A126" s="14">
        <v>86</v>
      </c>
      <c r="B126" s="14" t="s">
        <v>360</v>
      </c>
      <c r="C126" s="14">
        <v>50</v>
      </c>
      <c r="D126" s="14">
        <v>20</v>
      </c>
      <c r="E126" s="32">
        <v>46144</v>
      </c>
      <c r="F126" s="14">
        <v>20</v>
      </c>
      <c r="G126" s="14"/>
      <c r="H126" s="14"/>
      <c r="I126" s="14"/>
      <c r="J126" s="14"/>
      <c r="K126" s="14">
        <v>20</v>
      </c>
    </row>
    <row r="127" spans="1:11" ht="15.75" x14ac:dyDescent="0.25">
      <c r="A127" s="60">
        <v>87</v>
      </c>
      <c r="B127" s="60" t="s">
        <v>361</v>
      </c>
      <c r="C127" s="60">
        <v>86</v>
      </c>
      <c r="D127" s="60">
        <v>40</v>
      </c>
      <c r="E127" s="32">
        <v>46144</v>
      </c>
      <c r="F127" s="14">
        <v>20</v>
      </c>
      <c r="G127" s="14"/>
      <c r="H127" s="14"/>
      <c r="I127" s="14"/>
      <c r="J127" s="14"/>
      <c r="K127" s="60">
        <f>F127+F128</f>
        <v>40</v>
      </c>
    </row>
    <row r="128" spans="1:11" ht="15.75" x14ac:dyDescent="0.25">
      <c r="A128" s="61"/>
      <c r="B128" s="61"/>
      <c r="C128" s="61"/>
      <c r="D128" s="61"/>
      <c r="E128" s="32">
        <v>46144</v>
      </c>
      <c r="F128" s="14">
        <v>20</v>
      </c>
      <c r="G128" s="14"/>
      <c r="H128" s="14"/>
      <c r="I128" s="14"/>
      <c r="J128" s="14"/>
      <c r="K128" s="61"/>
    </row>
    <row r="129" spans="1:11" ht="15.75" x14ac:dyDescent="0.25">
      <c r="A129" s="14">
        <v>88</v>
      </c>
      <c r="B129" s="14" t="s">
        <v>362</v>
      </c>
      <c r="C129" s="14">
        <v>23</v>
      </c>
      <c r="D129" s="14">
        <v>20</v>
      </c>
      <c r="E129" s="32">
        <v>46144</v>
      </c>
      <c r="F129" s="14">
        <v>20</v>
      </c>
      <c r="G129" s="14"/>
      <c r="H129" s="14"/>
      <c r="I129" s="14"/>
      <c r="J129" s="14"/>
      <c r="K129" s="14">
        <v>20</v>
      </c>
    </row>
    <row r="130" spans="1:11" ht="15.75" x14ac:dyDescent="0.25">
      <c r="A130" s="14">
        <v>89</v>
      </c>
      <c r="B130" s="14" t="s">
        <v>489</v>
      </c>
      <c r="C130" s="14">
        <v>31</v>
      </c>
      <c r="D130" s="14">
        <v>30</v>
      </c>
      <c r="E130" s="32">
        <v>46144</v>
      </c>
      <c r="F130" s="14">
        <v>30</v>
      </c>
      <c r="G130" s="14"/>
      <c r="H130" s="14"/>
      <c r="I130" s="14"/>
      <c r="J130" s="14"/>
      <c r="K130" s="14">
        <v>30</v>
      </c>
    </row>
    <row r="131" spans="1:11" ht="15.75" x14ac:dyDescent="0.25">
      <c r="A131" s="14">
        <v>90</v>
      </c>
      <c r="B131" s="14" t="s">
        <v>490</v>
      </c>
      <c r="C131" s="14">
        <v>30</v>
      </c>
      <c r="D131" s="14">
        <v>20</v>
      </c>
      <c r="E131" s="32">
        <v>46144</v>
      </c>
      <c r="F131" s="14">
        <v>20</v>
      </c>
      <c r="G131" s="14"/>
      <c r="H131" s="14"/>
      <c r="I131" s="14"/>
      <c r="J131" s="14"/>
      <c r="K131" s="14">
        <v>20</v>
      </c>
    </row>
    <row r="132" spans="1:11" ht="15.75" x14ac:dyDescent="0.25">
      <c r="A132" s="14">
        <v>91</v>
      </c>
      <c r="B132" s="14" t="s">
        <v>333</v>
      </c>
      <c r="C132" s="14">
        <v>71</v>
      </c>
      <c r="D132" s="14">
        <v>30</v>
      </c>
      <c r="E132" s="32">
        <v>46144</v>
      </c>
      <c r="F132" s="14">
        <v>30</v>
      </c>
      <c r="G132" s="14"/>
      <c r="H132" s="14"/>
      <c r="I132" s="14"/>
      <c r="J132" s="14"/>
      <c r="K132" s="14">
        <v>30</v>
      </c>
    </row>
    <row r="133" spans="1:11" ht="15.75" x14ac:dyDescent="0.25">
      <c r="A133" s="60">
        <v>92</v>
      </c>
      <c r="B133" s="60" t="s">
        <v>335</v>
      </c>
      <c r="C133" s="60">
        <v>98</v>
      </c>
      <c r="D133" s="60">
        <v>50</v>
      </c>
      <c r="E133" s="32">
        <v>46144</v>
      </c>
      <c r="F133" s="14">
        <v>30</v>
      </c>
      <c r="G133" s="14"/>
      <c r="H133" s="14"/>
      <c r="I133" s="14"/>
      <c r="J133" s="14"/>
      <c r="K133" s="60">
        <f>F133+F134</f>
        <v>50</v>
      </c>
    </row>
    <row r="134" spans="1:11" ht="15.75" x14ac:dyDescent="0.25">
      <c r="A134" s="61"/>
      <c r="B134" s="61"/>
      <c r="C134" s="61"/>
      <c r="D134" s="61"/>
      <c r="E134" s="32">
        <v>46144</v>
      </c>
      <c r="F134" s="14">
        <v>20</v>
      </c>
      <c r="G134" s="14"/>
      <c r="H134" s="14"/>
      <c r="I134" s="14"/>
      <c r="J134" s="14"/>
      <c r="K134" s="61"/>
    </row>
    <row r="135" spans="1:11" ht="15.75" x14ac:dyDescent="0.25">
      <c r="A135" s="60">
        <v>93</v>
      </c>
      <c r="B135" s="60" t="s">
        <v>336</v>
      </c>
      <c r="C135" s="60">
        <v>25</v>
      </c>
      <c r="D135" s="60">
        <v>40</v>
      </c>
      <c r="E135" s="32">
        <v>46144</v>
      </c>
      <c r="F135" s="14">
        <v>20</v>
      </c>
      <c r="G135" s="14"/>
      <c r="H135" s="14"/>
      <c r="I135" s="14"/>
      <c r="J135" s="14"/>
      <c r="K135" s="60">
        <f>F135+F136</f>
        <v>40</v>
      </c>
    </row>
    <row r="136" spans="1:11" ht="15.75" x14ac:dyDescent="0.25">
      <c r="A136" s="61"/>
      <c r="B136" s="61"/>
      <c r="C136" s="61"/>
      <c r="D136" s="61"/>
      <c r="E136" s="32">
        <v>46144</v>
      </c>
      <c r="F136" s="14">
        <v>20</v>
      </c>
      <c r="G136" s="14"/>
      <c r="H136" s="14"/>
      <c r="I136" s="14"/>
      <c r="J136" s="14"/>
      <c r="K136" s="61"/>
    </row>
    <row r="137" spans="1:11" ht="15.75" x14ac:dyDescent="0.25">
      <c r="A137" s="14">
        <v>94</v>
      </c>
      <c r="B137" s="14" t="s">
        <v>341</v>
      </c>
      <c r="C137" s="14">
        <v>60</v>
      </c>
      <c r="D137" s="14">
        <v>20</v>
      </c>
      <c r="E137" s="32">
        <v>46144</v>
      </c>
      <c r="F137" s="14">
        <v>20</v>
      </c>
      <c r="G137" s="14"/>
      <c r="H137" s="14"/>
      <c r="I137" s="14"/>
      <c r="J137" s="14"/>
      <c r="K137" s="14">
        <v>20</v>
      </c>
    </row>
    <row r="138" spans="1:11" ht="15.75" x14ac:dyDescent="0.25">
      <c r="A138" s="60">
        <v>95</v>
      </c>
      <c r="B138" s="60" t="s">
        <v>343</v>
      </c>
      <c r="C138" s="60">
        <v>98</v>
      </c>
      <c r="D138" s="60">
        <v>50</v>
      </c>
      <c r="E138" s="32">
        <v>46144</v>
      </c>
      <c r="F138" s="14">
        <v>30</v>
      </c>
      <c r="G138" s="14"/>
      <c r="H138" s="14"/>
      <c r="I138" s="14"/>
      <c r="J138" s="14"/>
      <c r="K138" s="60">
        <f>F138+F139</f>
        <v>50</v>
      </c>
    </row>
    <row r="139" spans="1:11" ht="15.75" x14ac:dyDescent="0.25">
      <c r="A139" s="61"/>
      <c r="B139" s="61"/>
      <c r="C139" s="61"/>
      <c r="D139" s="61"/>
      <c r="E139" s="32">
        <v>46144</v>
      </c>
      <c r="F139" s="14">
        <v>20</v>
      </c>
      <c r="G139" s="14"/>
      <c r="H139" s="14"/>
      <c r="I139" s="14"/>
      <c r="J139" s="14"/>
      <c r="K139" s="61"/>
    </row>
    <row r="140" spans="1:11" ht="15.75" x14ac:dyDescent="0.25">
      <c r="A140" s="60">
        <v>96</v>
      </c>
      <c r="B140" s="60" t="s">
        <v>344</v>
      </c>
      <c r="C140" s="60">
        <v>24</v>
      </c>
      <c r="D140" s="60">
        <v>40</v>
      </c>
      <c r="E140" s="32">
        <v>46144</v>
      </c>
      <c r="F140" s="14">
        <v>20</v>
      </c>
      <c r="G140" s="14"/>
      <c r="H140" s="14"/>
      <c r="I140" s="14"/>
      <c r="J140" s="14"/>
      <c r="K140" s="60">
        <f>F140+F141</f>
        <v>40</v>
      </c>
    </row>
    <row r="141" spans="1:11" ht="15.75" x14ac:dyDescent="0.25">
      <c r="A141" s="61"/>
      <c r="B141" s="61"/>
      <c r="C141" s="61"/>
      <c r="D141" s="61"/>
      <c r="E141" s="32">
        <v>46144</v>
      </c>
      <c r="F141" s="14">
        <v>20</v>
      </c>
      <c r="G141" s="14"/>
      <c r="H141" s="14"/>
      <c r="I141" s="14"/>
      <c r="J141" s="14"/>
      <c r="K141" s="61"/>
    </row>
    <row r="142" spans="1:11" ht="15.75" x14ac:dyDescent="0.25">
      <c r="A142" s="60">
        <v>97</v>
      </c>
      <c r="B142" s="60" t="s">
        <v>345</v>
      </c>
      <c r="C142" s="60">
        <v>33</v>
      </c>
      <c r="D142" s="60">
        <v>40</v>
      </c>
      <c r="E142" s="32">
        <v>46144</v>
      </c>
      <c r="F142" s="14">
        <v>20</v>
      </c>
      <c r="G142" s="14"/>
      <c r="H142" s="14"/>
      <c r="I142" s="14"/>
      <c r="J142" s="14"/>
      <c r="K142" s="60">
        <f>F142+F143</f>
        <v>40</v>
      </c>
    </row>
    <row r="143" spans="1:11" ht="15.75" x14ac:dyDescent="0.25">
      <c r="A143" s="61"/>
      <c r="B143" s="61"/>
      <c r="C143" s="61"/>
      <c r="D143" s="61"/>
      <c r="E143" s="32">
        <v>46144</v>
      </c>
      <c r="F143" s="14">
        <v>20</v>
      </c>
      <c r="G143" s="14"/>
      <c r="H143" s="14"/>
      <c r="I143" s="14"/>
      <c r="J143" s="14"/>
      <c r="K143" s="61"/>
    </row>
    <row r="144" spans="1:11" ht="15.75" x14ac:dyDescent="0.25">
      <c r="A144" s="14">
        <v>98</v>
      </c>
      <c r="B144" s="14" t="s">
        <v>346</v>
      </c>
      <c r="C144" s="14">
        <v>7</v>
      </c>
      <c r="D144" s="14">
        <v>20</v>
      </c>
      <c r="E144" s="32">
        <v>46144</v>
      </c>
      <c r="F144" s="14">
        <v>20</v>
      </c>
      <c r="G144" s="14"/>
      <c r="H144" s="14"/>
      <c r="I144" s="14"/>
      <c r="J144" s="14"/>
      <c r="K144" s="14">
        <v>20</v>
      </c>
    </row>
    <row r="145" spans="1:11" ht="15.75" x14ac:dyDescent="0.25">
      <c r="A145" s="60">
        <v>99</v>
      </c>
      <c r="B145" s="60" t="s">
        <v>347</v>
      </c>
      <c r="C145" s="60">
        <v>100</v>
      </c>
      <c r="D145" s="60">
        <v>40</v>
      </c>
      <c r="E145" s="32">
        <v>46144</v>
      </c>
      <c r="F145" s="14">
        <v>20</v>
      </c>
      <c r="G145" s="14"/>
      <c r="H145" s="14"/>
      <c r="I145" s="14"/>
      <c r="J145" s="14"/>
      <c r="K145" s="60">
        <f>F145+F146</f>
        <v>40</v>
      </c>
    </row>
    <row r="146" spans="1:11" ht="15.75" x14ac:dyDescent="0.25">
      <c r="A146" s="61"/>
      <c r="B146" s="61"/>
      <c r="C146" s="61"/>
      <c r="D146" s="61"/>
      <c r="E146" s="32">
        <v>46144</v>
      </c>
      <c r="F146" s="14">
        <v>20</v>
      </c>
      <c r="G146" s="14"/>
      <c r="H146" s="14"/>
      <c r="I146" s="14"/>
      <c r="J146" s="14"/>
      <c r="K146" s="61"/>
    </row>
    <row r="147" spans="1:11" ht="15.75" x14ac:dyDescent="0.25">
      <c r="A147" s="14">
        <v>100</v>
      </c>
      <c r="B147" s="14" t="s">
        <v>348</v>
      </c>
      <c r="C147" s="14">
        <v>11</v>
      </c>
      <c r="D147" s="14">
        <v>20</v>
      </c>
      <c r="E147" s="32">
        <v>46144</v>
      </c>
      <c r="F147" s="14">
        <v>20</v>
      </c>
      <c r="G147" s="14"/>
      <c r="H147" s="14"/>
      <c r="I147" s="14"/>
      <c r="J147" s="14"/>
      <c r="K147" s="14">
        <v>20</v>
      </c>
    </row>
    <row r="148" spans="1:11" ht="15.75" x14ac:dyDescent="0.25">
      <c r="A148" s="60">
        <v>101</v>
      </c>
      <c r="B148" s="60" t="s">
        <v>302</v>
      </c>
      <c r="C148" s="60">
        <v>84</v>
      </c>
      <c r="D148" s="60">
        <v>80</v>
      </c>
      <c r="E148" s="32">
        <v>46144</v>
      </c>
      <c r="F148" s="14">
        <v>50</v>
      </c>
      <c r="G148" s="14"/>
      <c r="H148" s="14"/>
      <c r="I148" s="14"/>
      <c r="J148" s="14"/>
      <c r="K148" s="60">
        <f>F148+F149</f>
        <v>80</v>
      </c>
    </row>
    <row r="149" spans="1:11" ht="15.75" x14ac:dyDescent="0.25">
      <c r="A149" s="61"/>
      <c r="B149" s="61"/>
      <c r="C149" s="61"/>
      <c r="D149" s="61"/>
      <c r="E149" s="32">
        <v>46144</v>
      </c>
      <c r="F149" s="14">
        <v>30</v>
      </c>
      <c r="G149" s="14"/>
      <c r="H149" s="14"/>
      <c r="I149" s="14"/>
      <c r="J149" s="14"/>
      <c r="K149" s="61"/>
    </row>
    <row r="150" spans="1:11" ht="15.75" x14ac:dyDescent="0.25">
      <c r="A150" s="60">
        <v>102</v>
      </c>
      <c r="B150" s="60" t="s">
        <v>303</v>
      </c>
      <c r="C150" s="60">
        <v>6</v>
      </c>
      <c r="D150" s="60">
        <v>60</v>
      </c>
      <c r="E150" s="32">
        <v>46144</v>
      </c>
      <c r="F150" s="14">
        <v>30</v>
      </c>
      <c r="G150" s="14"/>
      <c r="H150" s="14"/>
      <c r="I150" s="14"/>
      <c r="J150" s="14"/>
      <c r="K150" s="60">
        <f>F150+F151</f>
        <v>60</v>
      </c>
    </row>
    <row r="151" spans="1:11" ht="15.75" x14ac:dyDescent="0.25">
      <c r="A151" s="61"/>
      <c r="B151" s="61"/>
      <c r="C151" s="61"/>
      <c r="D151" s="61"/>
      <c r="E151" s="32">
        <v>46144</v>
      </c>
      <c r="F151" s="14">
        <v>30</v>
      </c>
      <c r="G151" s="14"/>
      <c r="H151" s="14"/>
      <c r="I151" s="14"/>
      <c r="J151" s="14"/>
      <c r="K151" s="61"/>
    </row>
    <row r="152" spans="1:11" ht="15.75" x14ac:dyDescent="0.25">
      <c r="A152" s="60">
        <v>103</v>
      </c>
      <c r="B152" s="60" t="s">
        <v>304</v>
      </c>
      <c r="C152" s="60">
        <v>146</v>
      </c>
      <c r="D152" s="60">
        <v>250</v>
      </c>
      <c r="E152" s="32">
        <v>46144</v>
      </c>
      <c r="F152" s="14">
        <v>50</v>
      </c>
      <c r="G152" s="14"/>
      <c r="H152" s="14"/>
      <c r="I152" s="14"/>
      <c r="J152" s="14"/>
      <c r="K152" s="60">
        <f>F152+F153</f>
        <v>250</v>
      </c>
    </row>
    <row r="153" spans="1:11" ht="15.75" x14ac:dyDescent="0.25">
      <c r="A153" s="61"/>
      <c r="B153" s="61"/>
      <c r="C153" s="61"/>
      <c r="D153" s="61"/>
      <c r="E153" s="32">
        <v>46144</v>
      </c>
      <c r="F153" s="14">
        <v>200</v>
      </c>
      <c r="G153" s="14"/>
      <c r="H153" s="14"/>
      <c r="I153" s="14"/>
      <c r="J153" s="14"/>
      <c r="K153" s="61"/>
    </row>
    <row r="154" spans="1:11" ht="15.75" x14ac:dyDescent="0.25">
      <c r="A154" s="60">
        <v>104</v>
      </c>
      <c r="B154" s="60" t="s">
        <v>305</v>
      </c>
      <c r="C154" s="60">
        <v>49</v>
      </c>
      <c r="D154" s="60">
        <v>250</v>
      </c>
      <c r="E154" s="32">
        <v>46144</v>
      </c>
      <c r="F154" s="14">
        <v>200</v>
      </c>
      <c r="G154" s="14"/>
      <c r="H154" s="14"/>
      <c r="I154" s="14"/>
      <c r="J154" s="14"/>
      <c r="K154" s="60">
        <f>F154+F155</f>
        <v>250</v>
      </c>
    </row>
    <row r="155" spans="1:11" ht="15.75" x14ac:dyDescent="0.25">
      <c r="A155" s="61"/>
      <c r="B155" s="61"/>
      <c r="C155" s="61"/>
      <c r="D155" s="61"/>
      <c r="E155" s="32">
        <v>46144</v>
      </c>
      <c r="F155" s="14">
        <v>50</v>
      </c>
      <c r="G155" s="14"/>
      <c r="H155" s="14"/>
      <c r="I155" s="14"/>
      <c r="J155" s="14"/>
      <c r="K155" s="61"/>
    </row>
    <row r="156" spans="1:11" ht="15.75" x14ac:dyDescent="0.25">
      <c r="A156" s="60">
        <v>105</v>
      </c>
      <c r="B156" s="60" t="s">
        <v>308</v>
      </c>
      <c r="C156" s="60">
        <v>35</v>
      </c>
      <c r="D156" s="60">
        <v>80</v>
      </c>
      <c r="E156" s="32">
        <v>46144</v>
      </c>
      <c r="F156" s="14">
        <v>30</v>
      </c>
      <c r="G156" s="14"/>
      <c r="H156" s="14"/>
      <c r="I156" s="14"/>
      <c r="J156" s="14"/>
      <c r="K156" s="60">
        <f>F156+F157</f>
        <v>80</v>
      </c>
    </row>
    <row r="157" spans="1:11" ht="15.75" x14ac:dyDescent="0.25">
      <c r="A157" s="61"/>
      <c r="B157" s="61"/>
      <c r="C157" s="61"/>
      <c r="D157" s="61"/>
      <c r="E157" s="32">
        <v>46144</v>
      </c>
      <c r="F157" s="14">
        <v>50</v>
      </c>
      <c r="G157" s="14"/>
      <c r="H157" s="14"/>
      <c r="I157" s="14"/>
      <c r="J157" s="14"/>
      <c r="K157" s="61"/>
    </row>
    <row r="158" spans="1:11" ht="15.75" x14ac:dyDescent="0.25">
      <c r="A158" s="60">
        <v>106</v>
      </c>
      <c r="B158" s="60" t="s">
        <v>309</v>
      </c>
      <c r="C158" s="60">
        <v>43</v>
      </c>
      <c r="D158" s="60">
        <v>70</v>
      </c>
      <c r="E158" s="32">
        <v>46144</v>
      </c>
      <c r="F158" s="14">
        <v>20</v>
      </c>
      <c r="G158" s="14"/>
      <c r="H158" s="14"/>
      <c r="I158" s="14"/>
      <c r="J158" s="14"/>
      <c r="K158" s="60">
        <f>F158+F159</f>
        <v>70</v>
      </c>
    </row>
    <row r="159" spans="1:11" ht="15.75" x14ac:dyDescent="0.25">
      <c r="A159" s="61"/>
      <c r="B159" s="61"/>
      <c r="C159" s="61"/>
      <c r="D159" s="61"/>
      <c r="E159" s="32">
        <v>46144</v>
      </c>
      <c r="F159" s="14">
        <v>50</v>
      </c>
      <c r="G159" s="14"/>
      <c r="H159" s="14"/>
      <c r="I159" s="14"/>
      <c r="J159" s="14"/>
      <c r="K159" s="61"/>
    </row>
    <row r="160" spans="1:11" ht="15.75" x14ac:dyDescent="0.25">
      <c r="A160" s="60">
        <v>107</v>
      </c>
      <c r="B160" s="60" t="s">
        <v>314</v>
      </c>
      <c r="C160" s="60">
        <v>105</v>
      </c>
      <c r="D160" s="60">
        <v>200</v>
      </c>
      <c r="E160" s="32">
        <v>46144</v>
      </c>
      <c r="F160" s="14">
        <v>200</v>
      </c>
      <c r="G160" s="14"/>
      <c r="H160" s="14"/>
      <c r="I160" s="14"/>
      <c r="J160" s="14"/>
      <c r="K160" s="60">
        <f>F160+F161</f>
        <v>250</v>
      </c>
    </row>
    <row r="161" spans="1:11" ht="15.75" x14ac:dyDescent="0.25">
      <c r="A161" s="61"/>
      <c r="B161" s="61"/>
      <c r="C161" s="61"/>
      <c r="D161" s="61"/>
      <c r="E161" s="32">
        <v>46144</v>
      </c>
      <c r="F161" s="14">
        <v>50</v>
      </c>
      <c r="G161" s="14"/>
      <c r="H161" s="14"/>
      <c r="I161" s="14"/>
      <c r="J161" s="14"/>
      <c r="K161" s="61"/>
    </row>
    <row r="162" spans="1:11" ht="15.75" x14ac:dyDescent="0.25">
      <c r="A162" s="60">
        <v>108</v>
      </c>
      <c r="B162" s="60" t="s">
        <v>318</v>
      </c>
      <c r="C162" s="60">
        <v>104</v>
      </c>
      <c r="D162" s="60">
        <v>50</v>
      </c>
      <c r="E162" s="32">
        <v>46144</v>
      </c>
      <c r="F162" s="14">
        <v>80</v>
      </c>
      <c r="G162" s="14"/>
      <c r="H162" s="14"/>
      <c r="I162" s="14"/>
      <c r="J162" s="14"/>
      <c r="K162" s="60">
        <f>F162+F163+F164</f>
        <v>160</v>
      </c>
    </row>
    <row r="163" spans="1:11" ht="15.75" x14ac:dyDescent="0.25">
      <c r="A163" s="67"/>
      <c r="B163" s="67"/>
      <c r="C163" s="67"/>
      <c r="D163" s="67"/>
      <c r="E163" s="32">
        <v>46144</v>
      </c>
      <c r="F163" s="14">
        <v>30</v>
      </c>
      <c r="G163" s="14"/>
      <c r="H163" s="14"/>
      <c r="I163" s="14"/>
      <c r="J163" s="14"/>
      <c r="K163" s="67"/>
    </row>
    <row r="164" spans="1:11" ht="15.75" x14ac:dyDescent="0.25">
      <c r="A164" s="61"/>
      <c r="B164" s="61"/>
      <c r="C164" s="61"/>
      <c r="D164" s="61"/>
      <c r="E164" s="32">
        <v>46144</v>
      </c>
      <c r="F164" s="14">
        <v>50</v>
      </c>
      <c r="G164" s="14"/>
      <c r="H164" s="14"/>
      <c r="I164" s="14"/>
      <c r="J164" s="14"/>
      <c r="K164" s="61"/>
    </row>
    <row r="165" spans="1:11" ht="15.75" x14ac:dyDescent="0.25">
      <c r="A165" s="60">
        <v>109</v>
      </c>
      <c r="B165" s="60" t="s">
        <v>319</v>
      </c>
      <c r="C165" s="60">
        <v>82</v>
      </c>
      <c r="D165" s="60">
        <v>70</v>
      </c>
      <c r="E165" s="32">
        <v>46144</v>
      </c>
      <c r="F165" s="14">
        <v>50</v>
      </c>
      <c r="G165" s="14"/>
      <c r="H165" s="14"/>
      <c r="I165" s="14"/>
      <c r="J165" s="14"/>
      <c r="K165" s="60">
        <f>F165+F166</f>
        <v>70</v>
      </c>
    </row>
    <row r="166" spans="1:11" ht="15.75" x14ac:dyDescent="0.25">
      <c r="A166" s="61"/>
      <c r="B166" s="61"/>
      <c r="C166" s="61"/>
      <c r="D166" s="61"/>
      <c r="E166" s="32">
        <v>46144</v>
      </c>
      <c r="F166" s="14">
        <v>20</v>
      </c>
      <c r="G166" s="14"/>
      <c r="H166" s="14"/>
      <c r="I166" s="14"/>
      <c r="J166" s="14"/>
      <c r="K166" s="61"/>
    </row>
    <row r="167" spans="1:11" ht="15.75" x14ac:dyDescent="0.25">
      <c r="A167" s="14">
        <v>110</v>
      </c>
      <c r="B167" s="14" t="s">
        <v>322</v>
      </c>
      <c r="C167" s="14">
        <v>79</v>
      </c>
      <c r="D167" s="14">
        <v>40</v>
      </c>
      <c r="E167" s="32">
        <v>46144</v>
      </c>
      <c r="F167" s="14">
        <v>20</v>
      </c>
      <c r="G167" s="14"/>
      <c r="H167" s="14"/>
      <c r="I167" s="14"/>
      <c r="J167" s="14"/>
      <c r="K167" s="14">
        <v>20</v>
      </c>
    </row>
    <row r="168" spans="1:11" ht="15.75" x14ac:dyDescent="0.25">
      <c r="A168" s="14">
        <v>111</v>
      </c>
      <c r="B168" s="14" t="s">
        <v>323</v>
      </c>
      <c r="C168" s="14">
        <v>28</v>
      </c>
      <c r="D168" s="14">
        <v>20</v>
      </c>
      <c r="E168" s="32">
        <v>46144</v>
      </c>
      <c r="F168" s="14">
        <v>20</v>
      </c>
      <c r="G168" s="14"/>
      <c r="H168" s="14"/>
      <c r="I168" s="14"/>
      <c r="J168" s="14"/>
      <c r="K168" s="14">
        <v>20</v>
      </c>
    </row>
    <row r="169" spans="1:11" ht="15.75" x14ac:dyDescent="0.25">
      <c r="A169" s="14">
        <v>112</v>
      </c>
      <c r="B169" s="31" t="s">
        <v>260</v>
      </c>
      <c r="C169" s="14">
        <v>132</v>
      </c>
      <c r="D169" s="14">
        <v>100</v>
      </c>
      <c r="E169" s="14"/>
      <c r="F169" s="14"/>
      <c r="G169" s="32">
        <v>46167</v>
      </c>
      <c r="H169" s="14">
        <v>100</v>
      </c>
      <c r="I169" s="14"/>
      <c r="J169" s="14"/>
      <c r="K169" s="14">
        <v>100</v>
      </c>
    </row>
    <row r="170" spans="1:11" ht="15.75" x14ac:dyDescent="0.25">
      <c r="A170" s="14">
        <v>113</v>
      </c>
      <c r="B170" s="31" t="s">
        <v>261</v>
      </c>
      <c r="C170" s="14">
        <v>69</v>
      </c>
      <c r="D170" s="14">
        <v>100</v>
      </c>
      <c r="E170" s="14"/>
      <c r="F170" s="14"/>
      <c r="G170" s="32">
        <v>46167</v>
      </c>
      <c r="H170" s="14">
        <v>100</v>
      </c>
      <c r="I170" s="14"/>
      <c r="J170" s="14"/>
      <c r="K170" s="14">
        <v>100</v>
      </c>
    </row>
    <row r="171" spans="1:11" ht="15.75" x14ac:dyDescent="0.25">
      <c r="A171" s="14">
        <v>114</v>
      </c>
      <c r="B171" s="31" t="s">
        <v>267</v>
      </c>
      <c r="C171" s="14">
        <v>333</v>
      </c>
      <c r="D171" s="14">
        <v>50</v>
      </c>
      <c r="E171" s="14"/>
      <c r="F171" s="14"/>
      <c r="G171" s="32">
        <v>46167</v>
      </c>
      <c r="H171" s="14">
        <v>50</v>
      </c>
      <c r="I171" s="14"/>
      <c r="J171" s="14"/>
      <c r="K171" s="14">
        <v>50</v>
      </c>
    </row>
    <row r="172" spans="1:11" ht="15.75" x14ac:dyDescent="0.25">
      <c r="A172" s="14">
        <v>115</v>
      </c>
      <c r="B172" s="31" t="s">
        <v>492</v>
      </c>
      <c r="C172" s="14">
        <v>65</v>
      </c>
      <c r="D172" s="14">
        <v>50</v>
      </c>
      <c r="E172" s="14"/>
      <c r="F172" s="14"/>
      <c r="G172" s="32">
        <v>46167</v>
      </c>
      <c r="H172" s="14">
        <v>50</v>
      </c>
      <c r="I172" s="14"/>
      <c r="J172" s="14"/>
      <c r="K172" s="14">
        <v>50</v>
      </c>
    </row>
    <row r="173" spans="1:11" ht="15.75" x14ac:dyDescent="0.25">
      <c r="A173" s="14">
        <v>116</v>
      </c>
      <c r="B173" s="31" t="s">
        <v>491</v>
      </c>
      <c r="C173" s="14">
        <v>105</v>
      </c>
      <c r="D173" s="14">
        <v>50</v>
      </c>
      <c r="E173" s="14"/>
      <c r="F173" s="14"/>
      <c r="G173" s="32">
        <v>46167</v>
      </c>
      <c r="H173" s="14">
        <v>50</v>
      </c>
      <c r="I173" s="14"/>
      <c r="J173" s="14"/>
      <c r="K173" s="14">
        <v>50</v>
      </c>
    </row>
    <row r="174" spans="1:11" ht="15.75" x14ac:dyDescent="0.25">
      <c r="A174" s="14">
        <v>117</v>
      </c>
      <c r="B174" s="31" t="s">
        <v>268</v>
      </c>
      <c r="C174" s="14">
        <v>51</v>
      </c>
      <c r="D174" s="14">
        <v>100</v>
      </c>
      <c r="E174" s="14"/>
      <c r="F174" s="14"/>
      <c r="G174" s="32">
        <v>46167</v>
      </c>
      <c r="H174" s="14">
        <v>50</v>
      </c>
      <c r="I174" s="14"/>
      <c r="J174" s="14"/>
      <c r="K174" s="14">
        <v>50</v>
      </c>
    </row>
    <row r="175" spans="1:11" ht="15.75" x14ac:dyDescent="0.25">
      <c r="A175" s="14">
        <v>118</v>
      </c>
      <c r="B175" s="31" t="s">
        <v>270</v>
      </c>
      <c r="C175" s="14">
        <v>49</v>
      </c>
      <c r="D175" s="14">
        <v>50</v>
      </c>
      <c r="E175" s="14"/>
      <c r="F175" s="14"/>
      <c r="G175" s="14"/>
      <c r="H175" s="14"/>
      <c r="I175" s="14"/>
      <c r="J175" s="14"/>
      <c r="K175" s="33" t="s">
        <v>508</v>
      </c>
    </row>
    <row r="176" spans="1:11" ht="15.75" x14ac:dyDescent="0.25">
      <c r="A176" s="14">
        <v>119</v>
      </c>
      <c r="B176" s="31" t="s">
        <v>273</v>
      </c>
      <c r="C176" s="14">
        <v>91</v>
      </c>
      <c r="D176" s="14">
        <v>50</v>
      </c>
      <c r="E176" s="14"/>
      <c r="F176" s="14"/>
      <c r="G176" s="14"/>
      <c r="H176" s="14"/>
      <c r="I176" s="14"/>
      <c r="J176" s="14"/>
      <c r="K176" s="33" t="s">
        <v>508</v>
      </c>
    </row>
    <row r="177" spans="1:11" ht="15.75" x14ac:dyDescent="0.25">
      <c r="A177" s="14">
        <v>120</v>
      </c>
      <c r="B177" s="31" t="s">
        <v>271</v>
      </c>
      <c r="C177" s="14">
        <v>8</v>
      </c>
      <c r="D177" s="14">
        <v>20</v>
      </c>
      <c r="E177" s="14"/>
      <c r="F177" s="14"/>
      <c r="G177" s="14"/>
      <c r="H177" s="14"/>
      <c r="I177" s="14"/>
      <c r="J177" s="14"/>
      <c r="K177" s="33" t="s">
        <v>508</v>
      </c>
    </row>
    <row r="178" spans="1:11" ht="15.75" x14ac:dyDescent="0.25">
      <c r="A178" s="14">
        <v>121</v>
      </c>
      <c r="B178" s="31" t="s">
        <v>274</v>
      </c>
      <c r="C178" s="14">
        <v>23</v>
      </c>
      <c r="D178" s="14">
        <v>20</v>
      </c>
      <c r="E178" s="14"/>
      <c r="F178" s="14"/>
      <c r="G178" s="14"/>
      <c r="H178" s="14"/>
      <c r="I178" s="14"/>
      <c r="J178" s="14"/>
      <c r="K178" s="33" t="s">
        <v>508</v>
      </c>
    </row>
    <row r="179" spans="1:11" ht="15.75" x14ac:dyDescent="0.25">
      <c r="A179" s="14">
        <v>122</v>
      </c>
      <c r="B179" s="31" t="s">
        <v>238</v>
      </c>
      <c r="C179" s="14">
        <v>131</v>
      </c>
      <c r="D179" s="14">
        <v>0</v>
      </c>
      <c r="E179" s="14"/>
      <c r="F179" s="14"/>
      <c r="G179" s="14"/>
      <c r="H179" s="14"/>
      <c r="I179" s="14"/>
      <c r="J179" s="14"/>
      <c r="K179" s="33" t="s">
        <v>508</v>
      </c>
    </row>
    <row r="180" spans="1:11" ht="15.75" x14ac:dyDescent="0.25">
      <c r="A180" s="14">
        <v>123</v>
      </c>
      <c r="B180" s="31" t="s">
        <v>239</v>
      </c>
      <c r="C180" s="14">
        <v>24</v>
      </c>
      <c r="D180" s="14">
        <v>0</v>
      </c>
      <c r="E180" s="14"/>
      <c r="F180" s="14"/>
      <c r="G180" s="14"/>
      <c r="H180" s="14"/>
      <c r="I180" s="14"/>
      <c r="J180" s="14"/>
      <c r="K180" s="33" t="s">
        <v>508</v>
      </c>
    </row>
    <row r="181" spans="1:11" ht="15.75" x14ac:dyDescent="0.25">
      <c r="A181" s="14">
        <v>124</v>
      </c>
      <c r="B181" s="31" t="s">
        <v>242</v>
      </c>
      <c r="C181" s="14">
        <v>224</v>
      </c>
      <c r="D181" s="14">
        <v>0</v>
      </c>
      <c r="E181" s="14"/>
      <c r="F181" s="14"/>
      <c r="G181" s="14"/>
      <c r="H181" s="14"/>
      <c r="I181" s="14"/>
      <c r="J181" s="14"/>
      <c r="K181" s="33" t="s">
        <v>508</v>
      </c>
    </row>
    <row r="182" spans="1:11" ht="15.75" x14ac:dyDescent="0.25">
      <c r="A182" s="14">
        <v>125</v>
      </c>
      <c r="B182" s="31" t="s">
        <v>243</v>
      </c>
      <c r="C182" s="14">
        <v>23</v>
      </c>
      <c r="D182" s="14">
        <v>0</v>
      </c>
      <c r="E182" s="14"/>
      <c r="F182" s="14"/>
      <c r="G182" s="14"/>
      <c r="H182" s="14"/>
      <c r="I182" s="14"/>
      <c r="J182" s="14"/>
      <c r="K182" s="33" t="s">
        <v>508</v>
      </c>
    </row>
    <row r="183" spans="1:11" ht="15.75" x14ac:dyDescent="0.25">
      <c r="A183" s="14">
        <v>126</v>
      </c>
      <c r="B183" s="31" t="s">
        <v>248</v>
      </c>
      <c r="C183" s="14">
        <v>96</v>
      </c>
      <c r="D183" s="14">
        <v>0</v>
      </c>
      <c r="E183" s="14"/>
      <c r="F183" s="14"/>
      <c r="G183" s="14"/>
      <c r="H183" s="14"/>
      <c r="I183" s="14"/>
      <c r="J183" s="14"/>
      <c r="K183" s="33" t="s">
        <v>508</v>
      </c>
    </row>
    <row r="184" spans="1:11" ht="15.75" x14ac:dyDescent="0.25">
      <c r="A184" s="14">
        <v>127</v>
      </c>
      <c r="B184" s="31" t="s">
        <v>249</v>
      </c>
      <c r="C184" s="14">
        <v>32</v>
      </c>
      <c r="D184" s="14">
        <v>0</v>
      </c>
      <c r="E184" s="14"/>
      <c r="F184" s="14"/>
      <c r="G184" s="14"/>
      <c r="H184" s="14"/>
      <c r="I184" s="14"/>
      <c r="J184" s="14"/>
      <c r="K184" s="33" t="s">
        <v>508</v>
      </c>
    </row>
    <row r="185" spans="1:11" ht="15.75" x14ac:dyDescent="0.25">
      <c r="A185" s="14">
        <v>128</v>
      </c>
      <c r="B185" s="31" t="s">
        <v>186</v>
      </c>
      <c r="C185" s="14">
        <v>14</v>
      </c>
      <c r="D185" s="14">
        <v>0</v>
      </c>
      <c r="E185" s="14"/>
      <c r="F185" s="14"/>
      <c r="G185" s="14"/>
      <c r="H185" s="14"/>
      <c r="I185" s="14"/>
      <c r="J185" s="14"/>
      <c r="K185" s="33" t="s">
        <v>508</v>
      </c>
    </row>
    <row r="186" spans="1:11" ht="15.75" x14ac:dyDescent="0.25">
      <c r="A186" s="14">
        <v>129</v>
      </c>
      <c r="B186" s="31" t="s">
        <v>188</v>
      </c>
      <c r="C186" s="14">
        <v>9</v>
      </c>
      <c r="D186" s="14">
        <v>0</v>
      </c>
      <c r="E186" s="14"/>
      <c r="F186" s="14"/>
      <c r="G186" s="14"/>
      <c r="H186" s="14"/>
      <c r="I186" s="14"/>
      <c r="J186" s="14"/>
      <c r="K186" s="33" t="s">
        <v>508</v>
      </c>
    </row>
    <row r="187" spans="1:11" ht="15.75" x14ac:dyDescent="0.25">
      <c r="A187" s="14">
        <v>130</v>
      </c>
      <c r="B187" s="31" t="s">
        <v>90</v>
      </c>
      <c r="C187" s="14">
        <v>100</v>
      </c>
      <c r="D187" s="14">
        <v>30</v>
      </c>
      <c r="E187" s="14"/>
      <c r="F187" s="14"/>
      <c r="G187" s="32">
        <v>46167</v>
      </c>
      <c r="H187" s="14">
        <v>30</v>
      </c>
      <c r="I187" s="14"/>
      <c r="J187" s="14"/>
      <c r="K187" s="14">
        <v>30</v>
      </c>
    </row>
    <row r="188" spans="1:11" ht="15.75" x14ac:dyDescent="0.25">
      <c r="A188" s="14">
        <v>131</v>
      </c>
      <c r="B188" s="31" t="s">
        <v>92</v>
      </c>
      <c r="C188" s="14">
        <v>29</v>
      </c>
      <c r="D188" s="14">
        <v>0</v>
      </c>
      <c r="E188" s="14"/>
      <c r="F188" s="14"/>
      <c r="G188" s="14"/>
      <c r="H188" s="14"/>
      <c r="I188" s="14"/>
      <c r="J188" s="14"/>
      <c r="K188" s="33" t="s">
        <v>508</v>
      </c>
    </row>
    <row r="189" spans="1:11" ht="15.75" x14ac:dyDescent="0.25">
      <c r="A189" s="14">
        <v>132</v>
      </c>
      <c r="B189" s="31" t="s">
        <v>102</v>
      </c>
      <c r="C189" s="14">
        <v>31</v>
      </c>
      <c r="D189" s="14">
        <v>30</v>
      </c>
      <c r="E189" s="14"/>
      <c r="F189" s="14"/>
      <c r="G189" s="32">
        <v>46167</v>
      </c>
      <c r="H189" s="14">
        <v>30</v>
      </c>
      <c r="I189" s="14"/>
      <c r="J189" s="14"/>
      <c r="K189" s="14">
        <v>30</v>
      </c>
    </row>
    <row r="190" spans="1:11" ht="15.75" x14ac:dyDescent="0.25">
      <c r="A190" s="14">
        <v>133</v>
      </c>
      <c r="B190" s="31" t="s">
        <v>104</v>
      </c>
      <c r="C190" s="14">
        <v>29</v>
      </c>
      <c r="D190" s="14">
        <v>30</v>
      </c>
      <c r="E190" s="14"/>
      <c r="F190" s="14"/>
      <c r="G190" s="32">
        <v>46167</v>
      </c>
      <c r="H190" s="14">
        <v>30</v>
      </c>
      <c r="I190" s="14"/>
      <c r="J190" s="14"/>
      <c r="K190" s="14">
        <v>30</v>
      </c>
    </row>
    <row r="191" spans="1:11" ht="15.75" x14ac:dyDescent="0.25">
      <c r="A191" s="14">
        <v>134</v>
      </c>
      <c r="B191" s="31" t="s">
        <v>114</v>
      </c>
      <c r="C191" s="14">
        <v>97</v>
      </c>
      <c r="D191" s="14">
        <v>30</v>
      </c>
      <c r="E191" s="14"/>
      <c r="F191" s="14"/>
      <c r="G191" s="32">
        <v>46167</v>
      </c>
      <c r="H191" s="14">
        <v>30</v>
      </c>
      <c r="I191" s="14"/>
      <c r="J191" s="14"/>
      <c r="K191" s="14">
        <v>30</v>
      </c>
    </row>
    <row r="192" spans="1:11" ht="15.75" x14ac:dyDescent="0.25">
      <c r="A192" s="14">
        <v>135</v>
      </c>
      <c r="B192" s="31" t="s">
        <v>116</v>
      </c>
      <c r="C192" s="14">
        <v>49</v>
      </c>
      <c r="D192" s="14">
        <v>30</v>
      </c>
      <c r="E192" s="14"/>
      <c r="F192" s="14"/>
      <c r="G192" s="32">
        <v>46167</v>
      </c>
      <c r="H192" s="14">
        <v>30</v>
      </c>
      <c r="I192" s="14"/>
      <c r="J192" s="14"/>
      <c r="K192" s="14">
        <v>30</v>
      </c>
    </row>
    <row r="193" spans="1:11" ht="15.75" x14ac:dyDescent="0.25">
      <c r="A193" s="14">
        <v>136</v>
      </c>
      <c r="B193" s="31" t="s">
        <v>70</v>
      </c>
      <c r="C193" s="14">
        <v>146</v>
      </c>
      <c r="D193" s="14">
        <v>50</v>
      </c>
      <c r="E193" s="14"/>
      <c r="F193" s="14"/>
      <c r="G193" s="32">
        <v>46167</v>
      </c>
      <c r="H193" s="14">
        <v>50</v>
      </c>
      <c r="I193" s="14"/>
      <c r="J193" s="14"/>
      <c r="K193" s="14">
        <v>50</v>
      </c>
    </row>
    <row r="194" spans="1:11" ht="15.75" x14ac:dyDescent="0.25">
      <c r="A194" s="14">
        <v>137</v>
      </c>
      <c r="B194" s="31" t="s">
        <v>74</v>
      </c>
      <c r="C194" s="14">
        <v>66</v>
      </c>
      <c r="D194" s="14">
        <v>50</v>
      </c>
      <c r="E194" s="14"/>
      <c r="F194" s="14"/>
      <c r="G194" s="32">
        <v>46167</v>
      </c>
      <c r="H194" s="14">
        <v>50</v>
      </c>
      <c r="I194" s="14"/>
      <c r="J194" s="14"/>
      <c r="K194" s="14">
        <v>50</v>
      </c>
    </row>
    <row r="195" spans="1:11" ht="15.75" x14ac:dyDescent="0.25">
      <c r="A195" s="14">
        <v>138</v>
      </c>
      <c r="B195" s="31" t="s">
        <v>76</v>
      </c>
      <c r="C195" s="14">
        <v>50</v>
      </c>
      <c r="D195" s="14">
        <v>50</v>
      </c>
      <c r="E195" s="14"/>
      <c r="F195" s="14"/>
      <c r="G195" s="32">
        <v>46167</v>
      </c>
      <c r="H195" s="14">
        <v>50</v>
      </c>
      <c r="I195" s="14"/>
      <c r="J195" s="14"/>
      <c r="K195" s="14">
        <v>50</v>
      </c>
    </row>
  </sheetData>
  <mergeCells count="265">
    <mergeCell ref="A165:A166"/>
    <mergeCell ref="B165:B166"/>
    <mergeCell ref="C165:C166"/>
    <mergeCell ref="D165:D166"/>
    <mergeCell ref="K165:K166"/>
    <mergeCell ref="A160:A161"/>
    <mergeCell ref="B160:B161"/>
    <mergeCell ref="C160:C161"/>
    <mergeCell ref="D160:D161"/>
    <mergeCell ref="K160:K161"/>
    <mergeCell ref="A162:A164"/>
    <mergeCell ref="B162:B164"/>
    <mergeCell ref="C162:C164"/>
    <mergeCell ref="D162:D164"/>
    <mergeCell ref="K162:K164"/>
    <mergeCell ref="A156:A157"/>
    <mergeCell ref="B156:B157"/>
    <mergeCell ref="C156:C157"/>
    <mergeCell ref="D156:D157"/>
    <mergeCell ref="K156:K157"/>
    <mergeCell ref="A158:A159"/>
    <mergeCell ref="B158:B159"/>
    <mergeCell ref="C158:C159"/>
    <mergeCell ref="D158:D159"/>
    <mergeCell ref="K158:K159"/>
    <mergeCell ref="A152:A153"/>
    <mergeCell ref="B152:B153"/>
    <mergeCell ref="C152:C153"/>
    <mergeCell ref="D152:D153"/>
    <mergeCell ref="K152:K153"/>
    <mergeCell ref="A154:A155"/>
    <mergeCell ref="B154:B155"/>
    <mergeCell ref="C154:C155"/>
    <mergeCell ref="D154:D155"/>
    <mergeCell ref="K154:K155"/>
    <mergeCell ref="A148:A149"/>
    <mergeCell ref="B148:B149"/>
    <mergeCell ref="C148:C149"/>
    <mergeCell ref="D148:D149"/>
    <mergeCell ref="K148:K149"/>
    <mergeCell ref="A150:A151"/>
    <mergeCell ref="B150:B151"/>
    <mergeCell ref="C150:C151"/>
    <mergeCell ref="D150:D151"/>
    <mergeCell ref="K150:K151"/>
    <mergeCell ref="A142:A143"/>
    <mergeCell ref="B142:B143"/>
    <mergeCell ref="C142:C143"/>
    <mergeCell ref="D142:D143"/>
    <mergeCell ref="K142:K143"/>
    <mergeCell ref="A145:A146"/>
    <mergeCell ref="B145:B146"/>
    <mergeCell ref="C145:C146"/>
    <mergeCell ref="D145:D146"/>
    <mergeCell ref="K145:K146"/>
    <mergeCell ref="A138:A139"/>
    <mergeCell ref="B138:B139"/>
    <mergeCell ref="C138:C139"/>
    <mergeCell ref="D138:D139"/>
    <mergeCell ref="K138:K139"/>
    <mergeCell ref="A140:A141"/>
    <mergeCell ref="B140:B141"/>
    <mergeCell ref="C140:C141"/>
    <mergeCell ref="D140:D141"/>
    <mergeCell ref="K140:K141"/>
    <mergeCell ref="A133:A134"/>
    <mergeCell ref="B133:B134"/>
    <mergeCell ref="C133:C134"/>
    <mergeCell ref="D133:D134"/>
    <mergeCell ref="K133:K134"/>
    <mergeCell ref="A135:A136"/>
    <mergeCell ref="B135:B136"/>
    <mergeCell ref="C135:C136"/>
    <mergeCell ref="D135:D136"/>
    <mergeCell ref="K135:K136"/>
    <mergeCell ref="A121:A122"/>
    <mergeCell ref="B121:B122"/>
    <mergeCell ref="C121:C122"/>
    <mergeCell ref="D121:D122"/>
    <mergeCell ref="K121:K122"/>
    <mergeCell ref="A127:A128"/>
    <mergeCell ref="B127:B128"/>
    <mergeCell ref="C127:C128"/>
    <mergeCell ref="D127:D128"/>
    <mergeCell ref="K127:K128"/>
    <mergeCell ref="A114:A115"/>
    <mergeCell ref="B114:B115"/>
    <mergeCell ref="C114:C115"/>
    <mergeCell ref="D114:D115"/>
    <mergeCell ref="K114:K115"/>
    <mergeCell ref="A117:A118"/>
    <mergeCell ref="B117:B118"/>
    <mergeCell ref="C117:C118"/>
    <mergeCell ref="D117:D118"/>
    <mergeCell ref="K117:K118"/>
    <mergeCell ref="A107:A108"/>
    <mergeCell ref="B107:B108"/>
    <mergeCell ref="C107:C108"/>
    <mergeCell ref="D107:D108"/>
    <mergeCell ref="K107:K108"/>
    <mergeCell ref="A112:A113"/>
    <mergeCell ref="B112:B113"/>
    <mergeCell ref="C112:C113"/>
    <mergeCell ref="D112:D113"/>
    <mergeCell ref="K112:K113"/>
    <mergeCell ref="A96:A97"/>
    <mergeCell ref="B96:B97"/>
    <mergeCell ref="C96:C97"/>
    <mergeCell ref="D96:D97"/>
    <mergeCell ref="K96:K97"/>
    <mergeCell ref="A100:A101"/>
    <mergeCell ref="B100:B101"/>
    <mergeCell ref="C100:C101"/>
    <mergeCell ref="D100:D101"/>
    <mergeCell ref="K100:K101"/>
    <mergeCell ref="A90:A91"/>
    <mergeCell ref="B90:B91"/>
    <mergeCell ref="C90:C91"/>
    <mergeCell ref="D90:D91"/>
    <mergeCell ref="K90:K91"/>
    <mergeCell ref="A93:A94"/>
    <mergeCell ref="B93:B94"/>
    <mergeCell ref="C93:C94"/>
    <mergeCell ref="D93:D94"/>
    <mergeCell ref="K93:K94"/>
    <mergeCell ref="A79:A80"/>
    <mergeCell ref="B79:B80"/>
    <mergeCell ref="C79:C80"/>
    <mergeCell ref="D79:D80"/>
    <mergeCell ref="K79:K80"/>
    <mergeCell ref="A83:A84"/>
    <mergeCell ref="B83:B84"/>
    <mergeCell ref="C83:C84"/>
    <mergeCell ref="D83:D84"/>
    <mergeCell ref="K83:K84"/>
    <mergeCell ref="A75:A76"/>
    <mergeCell ref="B75:B76"/>
    <mergeCell ref="C75:C76"/>
    <mergeCell ref="D75:D76"/>
    <mergeCell ref="K75:K76"/>
    <mergeCell ref="A77:A78"/>
    <mergeCell ref="B77:B78"/>
    <mergeCell ref="C77:C78"/>
    <mergeCell ref="D77:D78"/>
    <mergeCell ref="K77:K78"/>
    <mergeCell ref="A70:A71"/>
    <mergeCell ref="B70:B71"/>
    <mergeCell ref="C70:C71"/>
    <mergeCell ref="D70:D71"/>
    <mergeCell ref="K70:K71"/>
    <mergeCell ref="A72:A73"/>
    <mergeCell ref="B72:B73"/>
    <mergeCell ref="C72:C73"/>
    <mergeCell ref="D72:D73"/>
    <mergeCell ref="K72:K73"/>
    <mergeCell ref="A65:A66"/>
    <mergeCell ref="B65:B66"/>
    <mergeCell ref="C65:C66"/>
    <mergeCell ref="D65:D66"/>
    <mergeCell ref="K65:K66"/>
    <mergeCell ref="A67:A68"/>
    <mergeCell ref="B67:B68"/>
    <mergeCell ref="C67:C68"/>
    <mergeCell ref="D67:D68"/>
    <mergeCell ref="K67:K68"/>
    <mergeCell ref="A60:A61"/>
    <mergeCell ref="B60:B61"/>
    <mergeCell ref="C60:C61"/>
    <mergeCell ref="D60:D61"/>
    <mergeCell ref="K60:K61"/>
    <mergeCell ref="A63:A64"/>
    <mergeCell ref="B63:B64"/>
    <mergeCell ref="C63:C64"/>
    <mergeCell ref="D63:D64"/>
    <mergeCell ref="K63:K64"/>
    <mergeCell ref="A55:A56"/>
    <mergeCell ref="B55:B56"/>
    <mergeCell ref="C55:C56"/>
    <mergeCell ref="D55:D56"/>
    <mergeCell ref="K55:K56"/>
    <mergeCell ref="A58:A59"/>
    <mergeCell ref="B58:B59"/>
    <mergeCell ref="C58:C59"/>
    <mergeCell ref="D58:D59"/>
    <mergeCell ref="K58:K59"/>
    <mergeCell ref="A50:A51"/>
    <mergeCell ref="B50:B51"/>
    <mergeCell ref="C50:C51"/>
    <mergeCell ref="D50:D51"/>
    <mergeCell ref="K50:K51"/>
    <mergeCell ref="A53:A54"/>
    <mergeCell ref="B53:B54"/>
    <mergeCell ref="C53:C54"/>
    <mergeCell ref="D53:D54"/>
    <mergeCell ref="K53:K54"/>
    <mergeCell ref="A43:A44"/>
    <mergeCell ref="B43:B44"/>
    <mergeCell ref="C43:C44"/>
    <mergeCell ref="D43:D44"/>
    <mergeCell ref="K43:K44"/>
    <mergeCell ref="A45:A46"/>
    <mergeCell ref="B45:B46"/>
    <mergeCell ref="C45:C46"/>
    <mergeCell ref="D45:D46"/>
    <mergeCell ref="K45:K46"/>
    <mergeCell ref="A36:A37"/>
    <mergeCell ref="B36:B37"/>
    <mergeCell ref="C36:C37"/>
    <mergeCell ref="D36:D37"/>
    <mergeCell ref="K36:K37"/>
    <mergeCell ref="A40:A41"/>
    <mergeCell ref="B40:B41"/>
    <mergeCell ref="C40:C41"/>
    <mergeCell ref="D40:D41"/>
    <mergeCell ref="K40:K41"/>
    <mergeCell ref="A29:A30"/>
    <mergeCell ref="B29:B30"/>
    <mergeCell ref="C29:C30"/>
    <mergeCell ref="D29:D30"/>
    <mergeCell ref="K29:K30"/>
    <mergeCell ref="A33:A34"/>
    <mergeCell ref="B33:B34"/>
    <mergeCell ref="C33:C34"/>
    <mergeCell ref="D33:D34"/>
    <mergeCell ref="K33:K34"/>
    <mergeCell ref="A16:A17"/>
    <mergeCell ref="B16:B17"/>
    <mergeCell ref="C16:C17"/>
    <mergeCell ref="D16:D17"/>
    <mergeCell ref="K16:K17"/>
    <mergeCell ref="A20:A21"/>
    <mergeCell ref="B20:B21"/>
    <mergeCell ref="C20:C21"/>
    <mergeCell ref="D20:D21"/>
    <mergeCell ref="K20:K21"/>
    <mergeCell ref="A10:A11"/>
    <mergeCell ref="B10:B11"/>
    <mergeCell ref="C10:C11"/>
    <mergeCell ref="D10:D11"/>
    <mergeCell ref="K10:K11"/>
    <mergeCell ref="A12:A13"/>
    <mergeCell ref="B12:B13"/>
    <mergeCell ref="C12:C13"/>
    <mergeCell ref="D12:D13"/>
    <mergeCell ref="K12:K13"/>
    <mergeCell ref="A6:A7"/>
    <mergeCell ref="B6:B7"/>
    <mergeCell ref="C6:C7"/>
    <mergeCell ref="D6:D7"/>
    <mergeCell ref="K6:K7"/>
    <mergeCell ref="A8:A9"/>
    <mergeCell ref="B8:B9"/>
    <mergeCell ref="C8:C9"/>
    <mergeCell ref="D8:D9"/>
    <mergeCell ref="K8:K9"/>
    <mergeCell ref="A1:K2"/>
    <mergeCell ref="A3:K3"/>
    <mergeCell ref="A4:A5"/>
    <mergeCell ref="B4:B5"/>
    <mergeCell ref="C4:C5"/>
    <mergeCell ref="D4:D5"/>
    <mergeCell ref="E4:F4"/>
    <mergeCell ref="G4:H4"/>
    <mergeCell ref="I4:J4"/>
    <mergeCell ref="K4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26A5-3611-4AFB-A2EE-26494F9D47E9}">
  <dimension ref="A1:K91"/>
  <sheetViews>
    <sheetView topLeftCell="A31" workbookViewId="0">
      <selection activeCell="A52" sqref="A52:B91"/>
    </sheetView>
  </sheetViews>
  <sheetFormatPr defaultRowHeight="15" x14ac:dyDescent="0.25"/>
  <cols>
    <col min="1" max="1" width="8.140625" customWidth="1"/>
    <col min="2" max="2" width="21" customWidth="1"/>
    <col min="3" max="3" width="0" hidden="1" customWidth="1"/>
    <col min="4" max="4" width="11.140625" hidden="1" customWidth="1"/>
    <col min="5" max="5" width="16.7109375" customWidth="1"/>
    <col min="6" max="6" width="1.7109375" customWidth="1"/>
    <col min="8" max="8" width="21.42578125" customWidth="1"/>
    <col min="9" max="9" width="0" hidden="1" customWidth="1"/>
    <col min="10" max="10" width="0.140625" customWidth="1"/>
    <col min="11" max="11" width="12.28515625" customWidth="1"/>
  </cols>
  <sheetData>
    <row r="1" spans="1:11" x14ac:dyDescent="0.25">
      <c r="A1" s="68" t="s">
        <v>501</v>
      </c>
      <c r="B1" s="68"/>
      <c r="C1" s="68"/>
      <c r="D1" s="68"/>
      <c r="E1" s="68"/>
    </row>
    <row r="2" spans="1:11" x14ac:dyDescent="0.25">
      <c r="A2" s="20" t="s">
        <v>2</v>
      </c>
      <c r="B2" s="20" t="s">
        <v>3</v>
      </c>
      <c r="C2" s="20" t="s">
        <v>493</v>
      </c>
      <c r="D2" s="20" t="s">
        <v>498</v>
      </c>
      <c r="E2" s="20" t="s">
        <v>493</v>
      </c>
      <c r="G2" s="20" t="s">
        <v>502</v>
      </c>
      <c r="H2" s="20" t="s">
        <v>3</v>
      </c>
      <c r="I2" s="24"/>
      <c r="J2" s="24"/>
      <c r="K2" s="24" t="s">
        <v>493</v>
      </c>
    </row>
    <row r="3" spans="1:11" x14ac:dyDescent="0.25">
      <c r="A3" s="26">
        <v>1</v>
      </c>
      <c r="B3" s="27" t="s">
        <v>5</v>
      </c>
      <c r="C3" s="27">
        <v>600</v>
      </c>
      <c r="D3" s="28">
        <v>335</v>
      </c>
      <c r="E3" s="28">
        <f t="shared" ref="E3:E34" si="0">C3-D3</f>
        <v>265</v>
      </c>
      <c r="G3" s="26">
        <v>50</v>
      </c>
      <c r="H3" s="29" t="s">
        <v>171</v>
      </c>
      <c r="I3" s="29">
        <v>100</v>
      </c>
      <c r="J3" s="28">
        <v>33</v>
      </c>
      <c r="K3" s="28">
        <f t="shared" ref="K3:K34" si="1">I3-J3</f>
        <v>67</v>
      </c>
    </row>
    <row r="4" spans="1:11" x14ac:dyDescent="0.25">
      <c r="A4" s="26">
        <v>2</v>
      </c>
      <c r="B4" s="27" t="s">
        <v>7</v>
      </c>
      <c r="C4" s="27">
        <v>400</v>
      </c>
      <c r="D4" s="28">
        <v>-14</v>
      </c>
      <c r="E4" s="28">
        <f t="shared" si="0"/>
        <v>414</v>
      </c>
      <c r="G4" s="26">
        <v>51</v>
      </c>
      <c r="H4" s="29" t="s">
        <v>173</v>
      </c>
      <c r="I4" s="29">
        <v>50</v>
      </c>
      <c r="J4" s="28">
        <v>14</v>
      </c>
      <c r="K4" s="28">
        <f t="shared" si="1"/>
        <v>36</v>
      </c>
    </row>
    <row r="5" spans="1:11" x14ac:dyDescent="0.25">
      <c r="A5" s="26">
        <v>3</v>
      </c>
      <c r="B5" s="27" t="s">
        <v>17</v>
      </c>
      <c r="C5" s="27">
        <v>150</v>
      </c>
      <c r="D5" s="28">
        <v>118</v>
      </c>
      <c r="E5" s="28">
        <f t="shared" si="0"/>
        <v>32</v>
      </c>
      <c r="G5" s="26">
        <v>52</v>
      </c>
      <c r="H5" s="29" t="s">
        <v>175</v>
      </c>
      <c r="I5" s="29">
        <v>50</v>
      </c>
      <c r="J5" s="28">
        <v>16</v>
      </c>
      <c r="K5" s="28">
        <f t="shared" si="1"/>
        <v>34</v>
      </c>
    </row>
    <row r="6" spans="1:11" x14ac:dyDescent="0.25">
      <c r="A6" s="26">
        <v>4</v>
      </c>
      <c r="B6" s="27" t="s">
        <v>21</v>
      </c>
      <c r="C6" s="27">
        <v>100</v>
      </c>
      <c r="D6" s="28">
        <v>18</v>
      </c>
      <c r="E6" s="28">
        <f t="shared" si="0"/>
        <v>82</v>
      </c>
      <c r="G6" s="26">
        <v>53</v>
      </c>
      <c r="H6" s="29" t="s">
        <v>153</v>
      </c>
      <c r="I6" s="29">
        <v>200</v>
      </c>
      <c r="J6" s="28">
        <v>33</v>
      </c>
      <c r="K6" s="28">
        <f t="shared" si="1"/>
        <v>167</v>
      </c>
    </row>
    <row r="7" spans="1:11" x14ac:dyDescent="0.25">
      <c r="A7" s="26">
        <v>5</v>
      </c>
      <c r="B7" s="27" t="s">
        <v>15</v>
      </c>
      <c r="C7" s="27">
        <v>100</v>
      </c>
      <c r="D7" s="28">
        <v>31</v>
      </c>
      <c r="E7" s="28">
        <f t="shared" si="0"/>
        <v>69</v>
      </c>
      <c r="G7" s="26">
        <v>54</v>
      </c>
      <c r="H7" s="29" t="s">
        <v>155</v>
      </c>
      <c r="I7" s="29">
        <v>100</v>
      </c>
      <c r="J7" s="28">
        <v>94</v>
      </c>
      <c r="K7" s="28">
        <f t="shared" si="1"/>
        <v>6</v>
      </c>
    </row>
    <row r="8" spans="1:11" x14ac:dyDescent="0.25">
      <c r="A8" s="26">
        <v>6</v>
      </c>
      <c r="B8" s="27" t="s">
        <v>13</v>
      </c>
      <c r="C8" s="27">
        <v>100</v>
      </c>
      <c r="D8" s="28">
        <v>37</v>
      </c>
      <c r="E8" s="28">
        <f t="shared" si="0"/>
        <v>63</v>
      </c>
      <c r="G8" s="26">
        <v>55</v>
      </c>
      <c r="H8" s="29" t="s">
        <v>159</v>
      </c>
      <c r="I8" s="29">
        <v>30</v>
      </c>
      <c r="J8" s="28">
        <v>4</v>
      </c>
      <c r="K8" s="28">
        <f t="shared" si="1"/>
        <v>26</v>
      </c>
    </row>
    <row r="9" spans="1:11" x14ac:dyDescent="0.25">
      <c r="A9" s="26">
        <v>7</v>
      </c>
      <c r="B9" s="27" t="s">
        <v>41</v>
      </c>
      <c r="C9" s="27">
        <v>150</v>
      </c>
      <c r="D9" s="28">
        <v>98</v>
      </c>
      <c r="E9" s="28">
        <f t="shared" si="0"/>
        <v>52</v>
      </c>
      <c r="G9" s="26">
        <v>56</v>
      </c>
      <c r="H9" s="29" t="s">
        <v>185</v>
      </c>
      <c r="I9" s="29">
        <v>50</v>
      </c>
      <c r="J9" s="28">
        <v>2</v>
      </c>
      <c r="K9" s="28">
        <f t="shared" si="1"/>
        <v>48</v>
      </c>
    </row>
    <row r="10" spans="1:11" x14ac:dyDescent="0.25">
      <c r="A10" s="26">
        <v>8</v>
      </c>
      <c r="B10" s="27" t="s">
        <v>43</v>
      </c>
      <c r="C10" s="27">
        <v>100</v>
      </c>
      <c r="D10" s="28">
        <v>62</v>
      </c>
      <c r="E10" s="28">
        <f t="shared" si="0"/>
        <v>38</v>
      </c>
      <c r="G10" s="26">
        <v>57</v>
      </c>
      <c r="H10" s="29" t="s">
        <v>187</v>
      </c>
      <c r="I10" s="29">
        <v>50</v>
      </c>
      <c r="J10" s="28">
        <v>30</v>
      </c>
      <c r="K10" s="28">
        <f t="shared" si="1"/>
        <v>20</v>
      </c>
    </row>
    <row r="11" spans="1:11" x14ac:dyDescent="0.25">
      <c r="A11" s="26">
        <v>9</v>
      </c>
      <c r="B11" s="27" t="s">
        <v>25</v>
      </c>
      <c r="C11" s="27">
        <v>150</v>
      </c>
      <c r="D11" s="28">
        <v>68</v>
      </c>
      <c r="E11" s="28">
        <f t="shared" si="0"/>
        <v>82</v>
      </c>
      <c r="G11" s="20">
        <v>58</v>
      </c>
      <c r="H11" s="25" t="s">
        <v>205</v>
      </c>
      <c r="I11" s="25">
        <v>50</v>
      </c>
      <c r="J11" s="24">
        <v>26</v>
      </c>
      <c r="K11" s="24">
        <f t="shared" si="1"/>
        <v>24</v>
      </c>
    </row>
    <row r="12" spans="1:11" x14ac:dyDescent="0.25">
      <c r="A12" s="26">
        <v>10</v>
      </c>
      <c r="B12" s="27" t="s">
        <v>27</v>
      </c>
      <c r="C12" s="27">
        <v>100</v>
      </c>
      <c r="D12" s="28">
        <v>76</v>
      </c>
      <c r="E12" s="28">
        <f t="shared" si="0"/>
        <v>24</v>
      </c>
      <c r="G12" s="20">
        <v>59</v>
      </c>
      <c r="H12" s="25" t="s">
        <v>207</v>
      </c>
      <c r="I12" s="25">
        <v>50</v>
      </c>
      <c r="J12" s="24">
        <v>13</v>
      </c>
      <c r="K12" s="24">
        <f t="shared" si="1"/>
        <v>37</v>
      </c>
    </row>
    <row r="13" spans="1:11" x14ac:dyDescent="0.25">
      <c r="A13" s="26">
        <v>11</v>
      </c>
      <c r="B13" s="27" t="s">
        <v>29</v>
      </c>
      <c r="C13" s="27">
        <v>50</v>
      </c>
      <c r="D13" s="28">
        <v>48</v>
      </c>
      <c r="E13" s="28">
        <f t="shared" si="0"/>
        <v>2</v>
      </c>
      <c r="G13" s="20">
        <v>60</v>
      </c>
      <c r="H13" s="25" t="s">
        <v>276</v>
      </c>
      <c r="I13" s="25">
        <v>100</v>
      </c>
      <c r="J13" s="24">
        <v>30</v>
      </c>
      <c r="K13" s="24">
        <f t="shared" si="1"/>
        <v>70</v>
      </c>
    </row>
    <row r="14" spans="1:11" x14ac:dyDescent="0.25">
      <c r="A14" s="26">
        <v>12</v>
      </c>
      <c r="B14" s="27" t="s">
        <v>31</v>
      </c>
      <c r="C14" s="27">
        <v>50</v>
      </c>
      <c r="D14" s="28">
        <v>48</v>
      </c>
      <c r="E14" s="28">
        <f t="shared" si="0"/>
        <v>2</v>
      </c>
      <c r="G14" s="20">
        <v>61</v>
      </c>
      <c r="H14" s="25" t="s">
        <v>277</v>
      </c>
      <c r="I14" s="25">
        <v>50</v>
      </c>
      <c r="J14" s="24">
        <v>9</v>
      </c>
      <c r="K14" s="24">
        <f t="shared" si="1"/>
        <v>41</v>
      </c>
    </row>
    <row r="15" spans="1:11" x14ac:dyDescent="0.25">
      <c r="A15" s="26">
        <v>13</v>
      </c>
      <c r="B15" s="27" t="s">
        <v>57</v>
      </c>
      <c r="C15" s="27">
        <v>150</v>
      </c>
      <c r="D15" s="28">
        <v>76</v>
      </c>
      <c r="E15" s="28">
        <f t="shared" si="0"/>
        <v>74</v>
      </c>
      <c r="G15" s="20">
        <v>62</v>
      </c>
      <c r="H15" s="25" t="s">
        <v>278</v>
      </c>
      <c r="I15" s="25">
        <v>50</v>
      </c>
      <c r="J15" s="24">
        <v>19</v>
      </c>
      <c r="K15" s="24">
        <f t="shared" si="1"/>
        <v>31</v>
      </c>
    </row>
    <row r="16" spans="1:11" x14ac:dyDescent="0.25">
      <c r="A16" s="26">
        <v>14</v>
      </c>
      <c r="B16" s="27" t="s">
        <v>10</v>
      </c>
      <c r="C16" s="27">
        <v>1000</v>
      </c>
      <c r="D16" s="28">
        <v>708</v>
      </c>
      <c r="E16" s="28">
        <f t="shared" si="0"/>
        <v>292</v>
      </c>
      <c r="G16" s="20">
        <v>63</v>
      </c>
      <c r="H16" s="25" t="s">
        <v>279</v>
      </c>
      <c r="I16" s="25">
        <v>30</v>
      </c>
      <c r="J16" s="24">
        <v>6</v>
      </c>
      <c r="K16" s="24">
        <f t="shared" si="1"/>
        <v>24</v>
      </c>
    </row>
    <row r="17" spans="1:11" x14ac:dyDescent="0.25">
      <c r="A17" s="26">
        <v>15</v>
      </c>
      <c r="B17" s="27" t="s">
        <v>12</v>
      </c>
      <c r="C17" s="27">
        <v>800</v>
      </c>
      <c r="D17" s="28">
        <v>203</v>
      </c>
      <c r="E17" s="28">
        <f t="shared" si="0"/>
        <v>597</v>
      </c>
      <c r="G17" s="20">
        <v>64</v>
      </c>
      <c r="H17" s="25" t="s">
        <v>280</v>
      </c>
      <c r="I17" s="25">
        <v>30</v>
      </c>
      <c r="J17" s="24">
        <v>17</v>
      </c>
      <c r="K17" s="24">
        <f t="shared" si="1"/>
        <v>13</v>
      </c>
    </row>
    <row r="18" spans="1:11" x14ac:dyDescent="0.25">
      <c r="A18" s="26">
        <v>16</v>
      </c>
      <c r="B18" s="27" t="s">
        <v>18</v>
      </c>
      <c r="C18" s="27">
        <v>1000</v>
      </c>
      <c r="D18" s="28">
        <v>223</v>
      </c>
      <c r="E18" s="28">
        <f t="shared" si="0"/>
        <v>777</v>
      </c>
      <c r="G18" s="20">
        <v>65</v>
      </c>
      <c r="H18" s="25" t="s">
        <v>281</v>
      </c>
      <c r="I18" s="25">
        <v>20</v>
      </c>
      <c r="J18" s="24">
        <v>9</v>
      </c>
      <c r="K18" s="24">
        <f t="shared" si="1"/>
        <v>11</v>
      </c>
    </row>
    <row r="19" spans="1:11" x14ac:dyDescent="0.25">
      <c r="A19" s="26">
        <v>17</v>
      </c>
      <c r="B19" s="27" t="s">
        <v>20</v>
      </c>
      <c r="C19" s="27">
        <v>500</v>
      </c>
      <c r="D19" s="28">
        <v>174</v>
      </c>
      <c r="E19" s="28">
        <f t="shared" si="0"/>
        <v>326</v>
      </c>
      <c r="G19" s="20">
        <v>66</v>
      </c>
      <c r="H19" s="25" t="s">
        <v>282</v>
      </c>
      <c r="I19" s="25">
        <v>50</v>
      </c>
      <c r="J19" s="24">
        <v>13</v>
      </c>
      <c r="K19" s="24">
        <f t="shared" si="1"/>
        <v>37</v>
      </c>
    </row>
    <row r="20" spans="1:11" x14ac:dyDescent="0.25">
      <c r="A20" s="26">
        <v>18</v>
      </c>
      <c r="B20" s="27" t="s">
        <v>26</v>
      </c>
      <c r="C20" s="27">
        <v>500</v>
      </c>
      <c r="D20" s="28">
        <v>12</v>
      </c>
      <c r="E20" s="28">
        <f t="shared" si="0"/>
        <v>488</v>
      </c>
      <c r="G20" s="20">
        <v>67</v>
      </c>
      <c r="H20" s="25" t="s">
        <v>283</v>
      </c>
      <c r="I20" s="25">
        <v>30</v>
      </c>
      <c r="J20" s="24">
        <v>28</v>
      </c>
      <c r="K20" s="24">
        <f t="shared" si="1"/>
        <v>2</v>
      </c>
    </row>
    <row r="21" spans="1:11" x14ac:dyDescent="0.25">
      <c r="A21" s="26">
        <v>19</v>
      </c>
      <c r="B21" s="27" t="s">
        <v>28</v>
      </c>
      <c r="C21" s="27">
        <v>300</v>
      </c>
      <c r="D21" s="28">
        <v>260</v>
      </c>
      <c r="E21" s="28">
        <f t="shared" si="0"/>
        <v>40</v>
      </c>
      <c r="G21" s="20">
        <v>68</v>
      </c>
      <c r="H21" s="25" t="s">
        <v>284</v>
      </c>
      <c r="I21" s="25">
        <v>30</v>
      </c>
      <c r="J21" s="24">
        <v>3</v>
      </c>
      <c r="K21" s="24">
        <f t="shared" si="1"/>
        <v>27</v>
      </c>
    </row>
    <row r="22" spans="1:11" x14ac:dyDescent="0.25">
      <c r="A22" s="26">
        <v>20</v>
      </c>
      <c r="B22" s="27" t="s">
        <v>34</v>
      </c>
      <c r="C22" s="27">
        <v>500</v>
      </c>
      <c r="D22" s="28">
        <v>123</v>
      </c>
      <c r="E22" s="28">
        <f t="shared" si="0"/>
        <v>377</v>
      </c>
      <c r="G22" s="20">
        <v>69</v>
      </c>
      <c r="H22" s="25" t="s">
        <v>285</v>
      </c>
      <c r="I22" s="25">
        <v>20</v>
      </c>
      <c r="J22" s="24">
        <v>11</v>
      </c>
      <c r="K22" s="24">
        <f t="shared" si="1"/>
        <v>9</v>
      </c>
    </row>
    <row r="23" spans="1:11" x14ac:dyDescent="0.25">
      <c r="A23" s="26">
        <v>21</v>
      </c>
      <c r="B23" s="27" t="s">
        <v>36</v>
      </c>
      <c r="C23" s="27">
        <v>300</v>
      </c>
      <c r="D23" s="28">
        <v>184</v>
      </c>
      <c r="E23" s="28">
        <f t="shared" si="0"/>
        <v>116</v>
      </c>
      <c r="G23" s="20">
        <v>70</v>
      </c>
      <c r="H23" s="25" t="s">
        <v>292</v>
      </c>
      <c r="I23" s="25">
        <v>30</v>
      </c>
      <c r="J23" s="24">
        <v>20</v>
      </c>
      <c r="K23" s="24">
        <f t="shared" si="1"/>
        <v>10</v>
      </c>
    </row>
    <row r="24" spans="1:11" x14ac:dyDescent="0.25">
      <c r="A24" s="26">
        <v>22</v>
      </c>
      <c r="B24" s="27" t="s">
        <v>42</v>
      </c>
      <c r="C24" s="27">
        <v>500</v>
      </c>
      <c r="D24" s="28">
        <v>139</v>
      </c>
      <c r="E24" s="28">
        <f t="shared" si="0"/>
        <v>361</v>
      </c>
      <c r="G24" s="20">
        <v>71</v>
      </c>
      <c r="H24" s="25" t="s">
        <v>293</v>
      </c>
      <c r="I24" s="25">
        <v>30</v>
      </c>
      <c r="J24" s="24">
        <v>7</v>
      </c>
      <c r="K24" s="24">
        <f t="shared" si="1"/>
        <v>23</v>
      </c>
    </row>
    <row r="25" spans="1:11" x14ac:dyDescent="0.25">
      <c r="A25" s="26">
        <v>23</v>
      </c>
      <c r="B25" s="27" t="s">
        <v>44</v>
      </c>
      <c r="C25" s="27">
        <v>300</v>
      </c>
      <c r="D25" s="28">
        <v>103</v>
      </c>
      <c r="E25" s="28">
        <f t="shared" si="0"/>
        <v>197</v>
      </c>
      <c r="G25" s="20">
        <v>72</v>
      </c>
      <c r="H25" s="21" t="s">
        <v>125</v>
      </c>
      <c r="I25" s="21">
        <v>200</v>
      </c>
      <c r="J25" s="24">
        <v>41</v>
      </c>
      <c r="K25" s="24">
        <f t="shared" si="1"/>
        <v>159</v>
      </c>
    </row>
    <row r="26" spans="1:11" x14ac:dyDescent="0.25">
      <c r="A26" s="26">
        <v>24</v>
      </c>
      <c r="B26" s="27" t="s">
        <v>50</v>
      </c>
      <c r="C26" s="27">
        <v>300</v>
      </c>
      <c r="D26" s="28">
        <v>54</v>
      </c>
      <c r="E26" s="28">
        <f t="shared" si="0"/>
        <v>246</v>
      </c>
      <c r="G26" s="20">
        <v>73</v>
      </c>
      <c r="H26" s="21" t="s">
        <v>127</v>
      </c>
      <c r="I26" s="21">
        <v>50</v>
      </c>
      <c r="J26" s="24">
        <v>11</v>
      </c>
      <c r="K26" s="24">
        <f t="shared" si="1"/>
        <v>39</v>
      </c>
    </row>
    <row r="27" spans="1:11" x14ac:dyDescent="0.25">
      <c r="A27" s="26">
        <v>25</v>
      </c>
      <c r="B27" s="27" t="s">
        <v>52</v>
      </c>
      <c r="C27" s="27">
        <v>200</v>
      </c>
      <c r="D27" s="28">
        <v>-16</v>
      </c>
      <c r="E27" s="28">
        <f t="shared" si="0"/>
        <v>216</v>
      </c>
      <c r="G27" s="20">
        <v>74</v>
      </c>
      <c r="H27" s="21" t="s">
        <v>121</v>
      </c>
      <c r="I27" s="24">
        <v>100</v>
      </c>
      <c r="J27" s="24">
        <v>25</v>
      </c>
      <c r="K27" s="24">
        <f t="shared" si="1"/>
        <v>75</v>
      </c>
    </row>
    <row r="28" spans="1:11" x14ac:dyDescent="0.25">
      <c r="A28" s="26">
        <v>26</v>
      </c>
      <c r="B28" s="27" t="s">
        <v>58</v>
      </c>
      <c r="C28" s="27">
        <v>100</v>
      </c>
      <c r="D28" s="28">
        <v>32</v>
      </c>
      <c r="E28" s="28">
        <f t="shared" si="0"/>
        <v>68</v>
      </c>
      <c r="G28" s="20">
        <v>75</v>
      </c>
      <c r="H28" s="21" t="s">
        <v>129</v>
      </c>
      <c r="I28" s="24">
        <v>50</v>
      </c>
      <c r="J28" s="24">
        <v>39</v>
      </c>
      <c r="K28" s="24">
        <f t="shared" si="1"/>
        <v>11</v>
      </c>
    </row>
    <row r="29" spans="1:11" x14ac:dyDescent="0.25">
      <c r="A29" s="26">
        <v>27</v>
      </c>
      <c r="B29" s="27" t="s">
        <v>60</v>
      </c>
      <c r="C29" s="27">
        <v>100</v>
      </c>
      <c r="D29" s="28">
        <v>24</v>
      </c>
      <c r="E29" s="28">
        <f t="shared" si="0"/>
        <v>76</v>
      </c>
      <c r="G29" s="20">
        <v>76</v>
      </c>
      <c r="H29" s="21" t="s">
        <v>85</v>
      </c>
      <c r="I29" s="21">
        <v>150</v>
      </c>
      <c r="J29" s="24">
        <v>55</v>
      </c>
      <c r="K29" s="24">
        <f t="shared" si="1"/>
        <v>95</v>
      </c>
    </row>
    <row r="30" spans="1:11" x14ac:dyDescent="0.25">
      <c r="A30" s="26">
        <v>28</v>
      </c>
      <c r="B30" s="27" t="s">
        <v>198</v>
      </c>
      <c r="C30" s="27">
        <v>150</v>
      </c>
      <c r="D30" s="28">
        <v>2</v>
      </c>
      <c r="E30" s="28">
        <f t="shared" si="0"/>
        <v>148</v>
      </c>
      <c r="G30" s="20">
        <v>77</v>
      </c>
      <c r="H30" s="21" t="s">
        <v>87</v>
      </c>
      <c r="I30" s="21">
        <v>100</v>
      </c>
      <c r="J30" s="24">
        <v>39</v>
      </c>
      <c r="K30" s="24">
        <f t="shared" si="1"/>
        <v>61</v>
      </c>
    </row>
    <row r="31" spans="1:11" x14ac:dyDescent="0.25">
      <c r="A31" s="26">
        <v>29</v>
      </c>
      <c r="B31" s="27" t="s">
        <v>200</v>
      </c>
      <c r="C31" s="27">
        <v>100</v>
      </c>
      <c r="D31" s="28"/>
      <c r="E31" s="28">
        <f t="shared" si="0"/>
        <v>100</v>
      </c>
      <c r="G31" s="20">
        <v>78</v>
      </c>
      <c r="H31" s="21" t="s">
        <v>105</v>
      </c>
      <c r="I31" s="21">
        <v>200</v>
      </c>
      <c r="J31" s="24">
        <v>76</v>
      </c>
      <c r="K31" s="24">
        <f t="shared" si="1"/>
        <v>124</v>
      </c>
    </row>
    <row r="32" spans="1:11" x14ac:dyDescent="0.25">
      <c r="A32" s="26">
        <v>30</v>
      </c>
      <c r="B32" s="27" t="s">
        <v>210</v>
      </c>
      <c r="C32" s="27">
        <v>50</v>
      </c>
      <c r="D32" s="28"/>
      <c r="E32" s="28">
        <f t="shared" si="0"/>
        <v>50</v>
      </c>
      <c r="G32" s="20">
        <v>79</v>
      </c>
      <c r="H32" s="21" t="s">
        <v>107</v>
      </c>
      <c r="I32" s="21">
        <v>150</v>
      </c>
      <c r="J32" s="24">
        <v>44</v>
      </c>
      <c r="K32" s="24">
        <f t="shared" si="1"/>
        <v>106</v>
      </c>
    </row>
    <row r="33" spans="1:11" x14ac:dyDescent="0.25">
      <c r="A33" s="26">
        <v>31</v>
      </c>
      <c r="B33" s="27" t="s">
        <v>212</v>
      </c>
      <c r="C33" s="27">
        <v>50</v>
      </c>
      <c r="D33" s="28">
        <v>4</v>
      </c>
      <c r="E33" s="28">
        <f t="shared" si="0"/>
        <v>46</v>
      </c>
      <c r="G33" s="20">
        <v>80</v>
      </c>
      <c r="H33" s="24" t="s">
        <v>351</v>
      </c>
      <c r="I33" s="24">
        <v>100</v>
      </c>
      <c r="J33" s="24">
        <v>32</v>
      </c>
      <c r="K33" s="24">
        <f t="shared" si="1"/>
        <v>68</v>
      </c>
    </row>
    <row r="34" spans="1:11" x14ac:dyDescent="0.25">
      <c r="A34" s="26">
        <v>32</v>
      </c>
      <c r="B34" s="27" t="s">
        <v>202</v>
      </c>
      <c r="C34" s="27">
        <v>50</v>
      </c>
      <c r="D34" s="28">
        <v>34</v>
      </c>
      <c r="E34" s="28">
        <f t="shared" si="0"/>
        <v>16</v>
      </c>
      <c r="G34" s="20">
        <v>81</v>
      </c>
      <c r="H34" s="24" t="s">
        <v>353</v>
      </c>
      <c r="I34" s="24">
        <v>50</v>
      </c>
      <c r="J34" s="24">
        <v>7</v>
      </c>
      <c r="K34" s="24">
        <f t="shared" si="1"/>
        <v>43</v>
      </c>
    </row>
    <row r="35" spans="1:11" x14ac:dyDescent="0.25">
      <c r="A35" s="26">
        <v>33</v>
      </c>
      <c r="B35" s="27" t="s">
        <v>204</v>
      </c>
      <c r="C35" s="27">
        <v>50</v>
      </c>
      <c r="D35" s="28">
        <v>-8</v>
      </c>
      <c r="E35" s="28">
        <f t="shared" ref="E35:E66" si="2">C35-D35</f>
        <v>58</v>
      </c>
      <c r="G35" s="20">
        <v>82</v>
      </c>
      <c r="H35" s="24" t="s">
        <v>354</v>
      </c>
      <c r="I35" s="24">
        <v>50</v>
      </c>
      <c r="J35" s="24">
        <v>1</v>
      </c>
      <c r="K35" s="24">
        <f t="shared" ref="K35:K53" si="3">I35-J35</f>
        <v>49</v>
      </c>
    </row>
    <row r="36" spans="1:11" x14ac:dyDescent="0.25">
      <c r="A36" s="26">
        <v>34</v>
      </c>
      <c r="B36" s="27" t="s">
        <v>206</v>
      </c>
      <c r="C36" s="27">
        <v>30</v>
      </c>
      <c r="D36" s="28">
        <v>14</v>
      </c>
      <c r="E36" s="28">
        <f t="shared" si="2"/>
        <v>16</v>
      </c>
      <c r="G36" s="20">
        <v>83</v>
      </c>
      <c r="H36" s="24" t="s">
        <v>357</v>
      </c>
      <c r="I36" s="24">
        <v>100</v>
      </c>
      <c r="J36" s="24">
        <v>16</v>
      </c>
      <c r="K36" s="24">
        <f t="shared" si="3"/>
        <v>84</v>
      </c>
    </row>
    <row r="37" spans="1:11" x14ac:dyDescent="0.25">
      <c r="A37" s="26">
        <v>35</v>
      </c>
      <c r="B37" s="27" t="s">
        <v>208</v>
      </c>
      <c r="C37" s="27">
        <v>30</v>
      </c>
      <c r="D37" s="28">
        <v>5</v>
      </c>
      <c r="E37" s="28">
        <f t="shared" si="2"/>
        <v>25</v>
      </c>
      <c r="G37" s="20">
        <v>84</v>
      </c>
      <c r="H37" s="24" t="s">
        <v>358</v>
      </c>
      <c r="I37" s="24">
        <v>50</v>
      </c>
      <c r="J37" s="24">
        <v>25</v>
      </c>
      <c r="K37" s="24">
        <f t="shared" si="3"/>
        <v>25</v>
      </c>
    </row>
    <row r="38" spans="1:11" x14ac:dyDescent="0.25">
      <c r="A38" s="26">
        <v>36</v>
      </c>
      <c r="B38" s="27" t="s">
        <v>152</v>
      </c>
      <c r="C38" s="27">
        <v>50</v>
      </c>
      <c r="D38" s="28">
        <v>28</v>
      </c>
      <c r="E38" s="28">
        <f t="shared" si="2"/>
        <v>22</v>
      </c>
      <c r="G38" s="20">
        <v>85</v>
      </c>
      <c r="H38" s="24" t="s">
        <v>359</v>
      </c>
      <c r="I38" s="24">
        <v>100</v>
      </c>
      <c r="J38" s="24">
        <v>8</v>
      </c>
      <c r="K38" s="24">
        <f t="shared" si="3"/>
        <v>92</v>
      </c>
    </row>
    <row r="39" spans="1:11" x14ac:dyDescent="0.25">
      <c r="A39" s="26">
        <v>37</v>
      </c>
      <c r="B39" s="27" t="s">
        <v>154</v>
      </c>
      <c r="C39" s="27">
        <v>30</v>
      </c>
      <c r="D39" s="28">
        <v>11</v>
      </c>
      <c r="E39" s="28">
        <f t="shared" si="2"/>
        <v>19</v>
      </c>
      <c r="G39" s="20">
        <v>86</v>
      </c>
      <c r="H39" s="24" t="s">
        <v>360</v>
      </c>
      <c r="I39" s="24">
        <v>50</v>
      </c>
      <c r="J39" s="24"/>
      <c r="K39" s="24">
        <f t="shared" si="3"/>
        <v>50</v>
      </c>
    </row>
    <row r="40" spans="1:11" x14ac:dyDescent="0.25">
      <c r="A40" s="26">
        <v>38</v>
      </c>
      <c r="B40" s="27" t="s">
        <v>156</v>
      </c>
      <c r="C40" s="27">
        <v>30</v>
      </c>
      <c r="D40" s="28">
        <v>1</v>
      </c>
      <c r="E40" s="28">
        <f t="shared" si="2"/>
        <v>29</v>
      </c>
      <c r="G40" s="20">
        <v>87</v>
      </c>
      <c r="H40" s="24" t="s">
        <v>361</v>
      </c>
      <c r="I40" s="24">
        <v>100</v>
      </c>
      <c r="J40" s="24">
        <v>14</v>
      </c>
      <c r="K40" s="24">
        <f t="shared" si="3"/>
        <v>86</v>
      </c>
    </row>
    <row r="41" spans="1:11" x14ac:dyDescent="0.25">
      <c r="A41" s="26">
        <v>39</v>
      </c>
      <c r="B41" s="27" t="s">
        <v>158</v>
      </c>
      <c r="C41" s="27">
        <v>20</v>
      </c>
      <c r="D41" s="28">
        <v>11</v>
      </c>
      <c r="E41" s="28">
        <f t="shared" si="2"/>
        <v>9</v>
      </c>
      <c r="G41" s="20">
        <v>88</v>
      </c>
      <c r="H41" s="24" t="s">
        <v>362</v>
      </c>
      <c r="I41" s="24">
        <v>50</v>
      </c>
      <c r="J41" s="24">
        <v>27</v>
      </c>
      <c r="K41" s="24">
        <f t="shared" si="3"/>
        <v>23</v>
      </c>
    </row>
    <row r="42" spans="1:11" x14ac:dyDescent="0.25">
      <c r="A42" s="26">
        <v>40</v>
      </c>
      <c r="B42" s="27" t="s">
        <v>160</v>
      </c>
      <c r="C42" s="27">
        <v>20</v>
      </c>
      <c r="D42" s="28">
        <v>13</v>
      </c>
      <c r="E42" s="28">
        <f t="shared" si="2"/>
        <v>7</v>
      </c>
      <c r="G42" s="20">
        <v>89</v>
      </c>
      <c r="H42" s="24" t="s">
        <v>489</v>
      </c>
      <c r="I42" s="24">
        <v>30</v>
      </c>
      <c r="J42" s="24">
        <v>-1</v>
      </c>
      <c r="K42" s="24">
        <f t="shared" si="3"/>
        <v>31</v>
      </c>
    </row>
    <row r="43" spans="1:11" x14ac:dyDescent="0.25">
      <c r="A43" s="26">
        <v>41</v>
      </c>
      <c r="B43" s="27" t="s">
        <v>226</v>
      </c>
      <c r="C43" s="27">
        <v>50</v>
      </c>
      <c r="D43" s="28">
        <v>42</v>
      </c>
      <c r="E43" s="28">
        <f t="shared" si="2"/>
        <v>8</v>
      </c>
      <c r="G43" s="20">
        <v>90</v>
      </c>
      <c r="H43" s="24" t="s">
        <v>490</v>
      </c>
      <c r="I43" s="24">
        <v>30</v>
      </c>
      <c r="J43" s="24"/>
      <c r="K43" s="24">
        <f t="shared" si="3"/>
        <v>30</v>
      </c>
    </row>
    <row r="44" spans="1:11" x14ac:dyDescent="0.25">
      <c r="A44" s="26">
        <v>42</v>
      </c>
      <c r="B44" s="27" t="s">
        <v>228</v>
      </c>
      <c r="C44" s="27">
        <v>50</v>
      </c>
      <c r="D44" s="28">
        <v>15</v>
      </c>
      <c r="E44" s="28">
        <f t="shared" si="2"/>
        <v>35</v>
      </c>
      <c r="G44" s="20">
        <v>91</v>
      </c>
      <c r="H44" s="24" t="s">
        <v>333</v>
      </c>
      <c r="I44" s="24">
        <v>100</v>
      </c>
      <c r="J44" s="24">
        <v>29</v>
      </c>
      <c r="K44" s="24">
        <f t="shared" si="3"/>
        <v>71</v>
      </c>
    </row>
    <row r="45" spans="1:11" x14ac:dyDescent="0.25">
      <c r="A45" s="26">
        <v>43</v>
      </c>
      <c r="B45" s="27" t="s">
        <v>231</v>
      </c>
      <c r="C45" s="27">
        <v>20</v>
      </c>
      <c r="D45" s="28">
        <v>14</v>
      </c>
      <c r="E45" s="28">
        <f t="shared" si="2"/>
        <v>6</v>
      </c>
      <c r="G45" s="20">
        <v>92</v>
      </c>
      <c r="H45" s="24" t="s">
        <v>335</v>
      </c>
      <c r="I45" s="24">
        <v>100</v>
      </c>
      <c r="J45" s="24">
        <v>2</v>
      </c>
      <c r="K45" s="24">
        <f t="shared" si="3"/>
        <v>98</v>
      </c>
    </row>
    <row r="46" spans="1:11" x14ac:dyDescent="0.25">
      <c r="A46" s="26">
        <v>44</v>
      </c>
      <c r="B46" s="27" t="s">
        <v>232</v>
      </c>
      <c r="C46" s="27">
        <v>20</v>
      </c>
      <c r="D46" s="28"/>
      <c r="E46" s="28">
        <f t="shared" si="2"/>
        <v>20</v>
      </c>
      <c r="G46" s="20">
        <v>93</v>
      </c>
      <c r="H46" s="24" t="s">
        <v>336</v>
      </c>
      <c r="I46" s="24">
        <v>30</v>
      </c>
      <c r="J46" s="24">
        <v>5</v>
      </c>
      <c r="K46" s="24">
        <f t="shared" si="3"/>
        <v>25</v>
      </c>
    </row>
    <row r="47" spans="1:11" x14ac:dyDescent="0.25">
      <c r="A47" s="26">
        <v>45</v>
      </c>
      <c r="B47" s="29" t="s">
        <v>133</v>
      </c>
      <c r="C47" s="29">
        <v>400</v>
      </c>
      <c r="D47" s="28">
        <v>130</v>
      </c>
      <c r="E47" s="28">
        <f t="shared" si="2"/>
        <v>270</v>
      </c>
      <c r="G47" s="20">
        <v>94</v>
      </c>
      <c r="H47" s="24" t="s">
        <v>341</v>
      </c>
      <c r="I47" s="24">
        <v>100</v>
      </c>
      <c r="J47" s="24">
        <v>40</v>
      </c>
      <c r="K47" s="24">
        <f t="shared" si="3"/>
        <v>60</v>
      </c>
    </row>
    <row r="48" spans="1:11" x14ac:dyDescent="0.25">
      <c r="A48" s="26">
        <v>46</v>
      </c>
      <c r="B48" s="29" t="s">
        <v>135</v>
      </c>
      <c r="C48" s="29">
        <v>300</v>
      </c>
      <c r="D48" s="28">
        <v>91</v>
      </c>
      <c r="E48" s="28">
        <f t="shared" si="2"/>
        <v>209</v>
      </c>
      <c r="G48" s="20">
        <v>95</v>
      </c>
      <c r="H48" s="24" t="s">
        <v>343</v>
      </c>
      <c r="I48" s="24">
        <v>100</v>
      </c>
      <c r="J48" s="24">
        <v>2</v>
      </c>
      <c r="K48" s="24">
        <f t="shared" si="3"/>
        <v>98</v>
      </c>
    </row>
    <row r="49" spans="1:11" x14ac:dyDescent="0.25">
      <c r="A49" s="26">
        <v>47</v>
      </c>
      <c r="B49" s="29" t="s">
        <v>137</v>
      </c>
      <c r="C49" s="29">
        <v>200</v>
      </c>
      <c r="D49" s="28">
        <v>26</v>
      </c>
      <c r="E49" s="28">
        <f t="shared" si="2"/>
        <v>174</v>
      </c>
      <c r="G49" s="20">
        <v>96</v>
      </c>
      <c r="H49" s="24" t="s">
        <v>344</v>
      </c>
      <c r="I49" s="24">
        <v>30</v>
      </c>
      <c r="J49" s="24">
        <v>6</v>
      </c>
      <c r="K49" s="24">
        <f t="shared" si="3"/>
        <v>24</v>
      </c>
    </row>
    <row r="50" spans="1:11" x14ac:dyDescent="0.25">
      <c r="A50" s="26">
        <v>48</v>
      </c>
      <c r="B50" s="29" t="s">
        <v>139</v>
      </c>
      <c r="C50" s="29">
        <v>150</v>
      </c>
      <c r="D50" s="28">
        <v>17</v>
      </c>
      <c r="E50" s="28">
        <f t="shared" si="2"/>
        <v>133</v>
      </c>
      <c r="G50" s="20">
        <v>97</v>
      </c>
      <c r="H50" s="24" t="s">
        <v>345</v>
      </c>
      <c r="I50" s="24">
        <v>50</v>
      </c>
      <c r="J50" s="24">
        <v>17</v>
      </c>
      <c r="K50" s="24">
        <f t="shared" si="3"/>
        <v>33</v>
      </c>
    </row>
    <row r="51" spans="1:11" x14ac:dyDescent="0.25">
      <c r="A51" s="26">
        <v>49</v>
      </c>
      <c r="B51" s="29" t="s">
        <v>169</v>
      </c>
      <c r="C51" s="29">
        <v>200</v>
      </c>
      <c r="D51" s="28">
        <v>43</v>
      </c>
      <c r="E51" s="28">
        <f t="shared" si="2"/>
        <v>157</v>
      </c>
      <c r="G51" s="20">
        <v>98</v>
      </c>
      <c r="H51" s="24" t="s">
        <v>346</v>
      </c>
      <c r="I51" s="24">
        <v>30</v>
      </c>
      <c r="J51" s="24">
        <v>23</v>
      </c>
      <c r="K51" s="24">
        <f t="shared" si="3"/>
        <v>7</v>
      </c>
    </row>
    <row r="52" spans="1:11" x14ac:dyDescent="0.25">
      <c r="A52" s="20">
        <v>101</v>
      </c>
      <c r="B52" s="24" t="s">
        <v>302</v>
      </c>
      <c r="C52" s="24">
        <v>100</v>
      </c>
      <c r="D52" s="24">
        <v>16</v>
      </c>
      <c r="E52" s="24">
        <f t="shared" si="2"/>
        <v>84</v>
      </c>
      <c r="G52" s="20">
        <v>99</v>
      </c>
      <c r="H52" s="24" t="s">
        <v>347</v>
      </c>
      <c r="I52" s="24">
        <v>100</v>
      </c>
      <c r="J52" s="24"/>
      <c r="K52" s="24">
        <f t="shared" si="3"/>
        <v>100</v>
      </c>
    </row>
    <row r="53" spans="1:11" x14ac:dyDescent="0.25">
      <c r="A53" s="20">
        <v>102</v>
      </c>
      <c r="B53" s="24" t="s">
        <v>303</v>
      </c>
      <c r="C53" s="24">
        <v>30</v>
      </c>
      <c r="D53" s="24">
        <v>24</v>
      </c>
      <c r="E53" s="24">
        <f t="shared" si="2"/>
        <v>6</v>
      </c>
      <c r="G53" s="20">
        <v>100</v>
      </c>
      <c r="H53" s="24" t="s">
        <v>348</v>
      </c>
      <c r="I53" s="24">
        <v>30</v>
      </c>
      <c r="J53" s="24">
        <v>19</v>
      </c>
      <c r="K53" s="24">
        <f t="shared" si="3"/>
        <v>11</v>
      </c>
    </row>
    <row r="54" spans="1:11" x14ac:dyDescent="0.25">
      <c r="A54" s="20">
        <v>103</v>
      </c>
      <c r="B54" s="24" t="s">
        <v>304</v>
      </c>
      <c r="C54" s="24">
        <v>150</v>
      </c>
      <c r="D54" s="24">
        <v>4</v>
      </c>
      <c r="E54" s="24">
        <f t="shared" si="2"/>
        <v>146</v>
      </c>
    </row>
    <row r="55" spans="1:11" x14ac:dyDescent="0.25">
      <c r="A55" s="20">
        <v>104</v>
      </c>
      <c r="B55" s="24" t="s">
        <v>305</v>
      </c>
      <c r="C55" s="24">
        <v>50</v>
      </c>
      <c r="D55" s="24">
        <v>1</v>
      </c>
      <c r="E55" s="24">
        <f t="shared" si="2"/>
        <v>49</v>
      </c>
    </row>
    <row r="56" spans="1:11" x14ac:dyDescent="0.25">
      <c r="A56" s="20">
        <v>105</v>
      </c>
      <c r="B56" s="24" t="s">
        <v>308</v>
      </c>
      <c r="C56" s="24">
        <v>50</v>
      </c>
      <c r="D56" s="24">
        <v>15</v>
      </c>
      <c r="E56" s="24">
        <f t="shared" si="2"/>
        <v>35</v>
      </c>
    </row>
    <row r="57" spans="1:11" x14ac:dyDescent="0.25">
      <c r="A57" s="20">
        <v>106</v>
      </c>
      <c r="B57" s="24" t="s">
        <v>309</v>
      </c>
      <c r="C57" s="24">
        <v>50</v>
      </c>
      <c r="D57" s="24">
        <v>7</v>
      </c>
      <c r="E57" s="24">
        <f t="shared" si="2"/>
        <v>43</v>
      </c>
    </row>
    <row r="58" spans="1:11" x14ac:dyDescent="0.25">
      <c r="A58" s="20">
        <v>107</v>
      </c>
      <c r="B58" s="24" t="s">
        <v>314</v>
      </c>
      <c r="C58" s="24">
        <v>100</v>
      </c>
      <c r="D58" s="24">
        <v>-5</v>
      </c>
      <c r="E58" s="24">
        <f t="shared" si="2"/>
        <v>105</v>
      </c>
    </row>
    <row r="59" spans="1:11" x14ac:dyDescent="0.25">
      <c r="A59" s="20">
        <v>108</v>
      </c>
      <c r="B59" s="24" t="s">
        <v>318</v>
      </c>
      <c r="C59" s="24">
        <v>100</v>
      </c>
      <c r="D59" s="24">
        <v>-4</v>
      </c>
      <c r="E59" s="24">
        <f t="shared" si="2"/>
        <v>104</v>
      </c>
    </row>
    <row r="60" spans="1:11" x14ac:dyDescent="0.25">
      <c r="A60" s="20">
        <v>109</v>
      </c>
      <c r="B60" s="24" t="s">
        <v>319</v>
      </c>
      <c r="C60" s="24">
        <v>100</v>
      </c>
      <c r="D60" s="24">
        <v>18</v>
      </c>
      <c r="E60" s="24">
        <f t="shared" si="2"/>
        <v>82</v>
      </c>
    </row>
    <row r="61" spans="1:11" x14ac:dyDescent="0.25">
      <c r="A61" s="20">
        <v>110</v>
      </c>
      <c r="B61" s="24" t="s">
        <v>322</v>
      </c>
      <c r="C61" s="24">
        <v>100</v>
      </c>
      <c r="D61" s="24">
        <v>21</v>
      </c>
      <c r="E61" s="24">
        <f t="shared" si="2"/>
        <v>79</v>
      </c>
    </row>
    <row r="62" spans="1:11" x14ac:dyDescent="0.25">
      <c r="A62" s="20">
        <v>111</v>
      </c>
      <c r="B62" s="24" t="s">
        <v>323</v>
      </c>
      <c r="C62" s="24">
        <v>50</v>
      </c>
      <c r="D62" s="24">
        <v>22</v>
      </c>
      <c r="E62" s="24">
        <f t="shared" si="2"/>
        <v>28</v>
      </c>
    </row>
    <row r="63" spans="1:11" x14ac:dyDescent="0.25">
      <c r="A63" s="20">
        <v>112</v>
      </c>
      <c r="B63" s="21" t="s">
        <v>260</v>
      </c>
      <c r="C63" s="21">
        <v>150</v>
      </c>
      <c r="D63" s="24">
        <v>18</v>
      </c>
      <c r="E63" s="24">
        <f t="shared" si="2"/>
        <v>132</v>
      </c>
    </row>
    <row r="64" spans="1:11" x14ac:dyDescent="0.25">
      <c r="A64" s="20">
        <v>113</v>
      </c>
      <c r="B64" s="21" t="s">
        <v>261</v>
      </c>
      <c r="C64" s="21">
        <v>150</v>
      </c>
      <c r="D64" s="24">
        <v>81</v>
      </c>
      <c r="E64" s="24">
        <f t="shared" si="2"/>
        <v>69</v>
      </c>
    </row>
    <row r="65" spans="1:5" x14ac:dyDescent="0.25">
      <c r="A65" s="20">
        <v>114</v>
      </c>
      <c r="B65" s="21" t="s">
        <v>267</v>
      </c>
      <c r="C65" s="21">
        <v>350</v>
      </c>
      <c r="D65" s="24">
        <v>17</v>
      </c>
      <c r="E65" s="24">
        <f t="shared" si="2"/>
        <v>333</v>
      </c>
    </row>
    <row r="66" spans="1:5" x14ac:dyDescent="0.25">
      <c r="A66" s="20">
        <v>115</v>
      </c>
      <c r="B66" s="21" t="s">
        <v>492</v>
      </c>
      <c r="C66" s="21">
        <v>100</v>
      </c>
      <c r="D66" s="24">
        <v>35</v>
      </c>
      <c r="E66" s="24">
        <f t="shared" si="2"/>
        <v>65</v>
      </c>
    </row>
    <row r="67" spans="1:5" x14ac:dyDescent="0.25">
      <c r="A67" s="20">
        <v>116</v>
      </c>
      <c r="B67" s="21" t="s">
        <v>491</v>
      </c>
      <c r="C67" s="21">
        <v>100</v>
      </c>
      <c r="D67" s="24">
        <v>-5</v>
      </c>
      <c r="E67" s="24">
        <f t="shared" ref="E67:E91" si="4">C67-D67</f>
        <v>105</v>
      </c>
    </row>
    <row r="68" spans="1:5" x14ac:dyDescent="0.25">
      <c r="A68" s="20">
        <v>117</v>
      </c>
      <c r="B68" s="21" t="s">
        <v>268</v>
      </c>
      <c r="C68" s="21">
        <v>50</v>
      </c>
      <c r="D68" s="24">
        <v>-1</v>
      </c>
      <c r="E68" s="24">
        <f t="shared" si="4"/>
        <v>51</v>
      </c>
    </row>
    <row r="69" spans="1:5" x14ac:dyDescent="0.25">
      <c r="A69" s="20">
        <v>118</v>
      </c>
      <c r="B69" s="21" t="s">
        <v>270</v>
      </c>
      <c r="C69" s="21">
        <v>50</v>
      </c>
      <c r="D69" s="24">
        <v>1</v>
      </c>
      <c r="E69" s="24">
        <f t="shared" si="4"/>
        <v>49</v>
      </c>
    </row>
    <row r="70" spans="1:5" x14ac:dyDescent="0.25">
      <c r="A70" s="20">
        <v>119</v>
      </c>
      <c r="B70" s="21" t="s">
        <v>273</v>
      </c>
      <c r="C70" s="21">
        <v>100</v>
      </c>
      <c r="D70" s="24">
        <v>9</v>
      </c>
      <c r="E70" s="24">
        <f t="shared" si="4"/>
        <v>91</v>
      </c>
    </row>
    <row r="71" spans="1:5" x14ac:dyDescent="0.25">
      <c r="A71" s="20">
        <v>120</v>
      </c>
      <c r="B71" s="21" t="s">
        <v>271</v>
      </c>
      <c r="C71" s="21">
        <v>50</v>
      </c>
      <c r="D71" s="24">
        <v>42</v>
      </c>
      <c r="E71" s="24">
        <f t="shared" si="4"/>
        <v>8</v>
      </c>
    </row>
    <row r="72" spans="1:5" x14ac:dyDescent="0.25">
      <c r="A72" s="20">
        <v>121</v>
      </c>
      <c r="B72" s="21" t="s">
        <v>274</v>
      </c>
      <c r="C72" s="21">
        <v>50</v>
      </c>
      <c r="D72" s="24">
        <v>27</v>
      </c>
      <c r="E72" s="24">
        <f t="shared" si="4"/>
        <v>23</v>
      </c>
    </row>
    <row r="73" spans="1:5" x14ac:dyDescent="0.25">
      <c r="A73" s="20">
        <v>122</v>
      </c>
      <c r="B73" s="21" t="s">
        <v>238</v>
      </c>
      <c r="C73" s="21">
        <v>150</v>
      </c>
      <c r="D73" s="24">
        <v>19</v>
      </c>
      <c r="E73" s="24">
        <f t="shared" si="4"/>
        <v>131</v>
      </c>
    </row>
    <row r="74" spans="1:5" x14ac:dyDescent="0.25">
      <c r="A74" s="20">
        <v>123</v>
      </c>
      <c r="B74" s="21" t="s">
        <v>239</v>
      </c>
      <c r="C74" s="21">
        <v>50</v>
      </c>
      <c r="D74" s="24">
        <v>26</v>
      </c>
      <c r="E74" s="24">
        <f t="shared" si="4"/>
        <v>24</v>
      </c>
    </row>
    <row r="75" spans="1:5" x14ac:dyDescent="0.25">
      <c r="A75" s="20">
        <v>124</v>
      </c>
      <c r="B75" s="21" t="s">
        <v>242</v>
      </c>
      <c r="C75" s="21">
        <v>200</v>
      </c>
      <c r="D75" s="24">
        <v>-24</v>
      </c>
      <c r="E75" s="24">
        <f t="shared" si="4"/>
        <v>224</v>
      </c>
    </row>
    <row r="76" spans="1:5" x14ac:dyDescent="0.25">
      <c r="A76" s="20">
        <v>125</v>
      </c>
      <c r="B76" s="21" t="s">
        <v>243</v>
      </c>
      <c r="C76" s="21">
        <v>50</v>
      </c>
      <c r="D76" s="24">
        <v>27</v>
      </c>
      <c r="E76" s="24">
        <f t="shared" si="4"/>
        <v>23</v>
      </c>
    </row>
    <row r="77" spans="1:5" x14ac:dyDescent="0.25">
      <c r="A77" s="20">
        <v>126</v>
      </c>
      <c r="B77" s="21" t="s">
        <v>248</v>
      </c>
      <c r="C77" s="21">
        <v>100</v>
      </c>
      <c r="D77" s="24">
        <v>4</v>
      </c>
      <c r="E77" s="24">
        <f t="shared" si="4"/>
        <v>96</v>
      </c>
    </row>
    <row r="78" spans="1:5" x14ac:dyDescent="0.25">
      <c r="A78" s="20">
        <v>127</v>
      </c>
      <c r="B78" s="21" t="s">
        <v>249</v>
      </c>
      <c r="C78" s="21">
        <v>50</v>
      </c>
      <c r="D78" s="24">
        <v>18</v>
      </c>
      <c r="E78" s="24">
        <f t="shared" si="4"/>
        <v>32</v>
      </c>
    </row>
    <row r="79" spans="1:5" x14ac:dyDescent="0.25">
      <c r="A79" s="20">
        <v>128</v>
      </c>
      <c r="B79" s="21" t="s">
        <v>186</v>
      </c>
      <c r="C79" s="21">
        <v>100</v>
      </c>
      <c r="D79" s="24">
        <v>86</v>
      </c>
      <c r="E79" s="24">
        <f t="shared" si="4"/>
        <v>14</v>
      </c>
    </row>
    <row r="80" spans="1:5" x14ac:dyDescent="0.25">
      <c r="A80" s="20">
        <v>129</v>
      </c>
      <c r="B80" s="21" t="s">
        <v>188</v>
      </c>
      <c r="C80" s="21">
        <v>50</v>
      </c>
      <c r="D80" s="24">
        <v>41</v>
      </c>
      <c r="E80" s="24">
        <f t="shared" si="4"/>
        <v>9</v>
      </c>
    </row>
    <row r="81" spans="1:5" x14ac:dyDescent="0.25">
      <c r="A81" s="20">
        <v>130</v>
      </c>
      <c r="B81" s="21" t="s">
        <v>90</v>
      </c>
      <c r="C81" s="21">
        <v>100</v>
      </c>
      <c r="D81" s="24"/>
      <c r="E81" s="24">
        <f t="shared" si="4"/>
        <v>100</v>
      </c>
    </row>
    <row r="82" spans="1:5" x14ac:dyDescent="0.25">
      <c r="A82" s="20">
        <v>131</v>
      </c>
      <c r="B82" s="21" t="s">
        <v>92</v>
      </c>
      <c r="C82" s="21">
        <v>50</v>
      </c>
      <c r="D82" s="24">
        <v>21</v>
      </c>
      <c r="E82" s="24">
        <f t="shared" si="4"/>
        <v>29</v>
      </c>
    </row>
    <row r="83" spans="1:5" x14ac:dyDescent="0.25">
      <c r="A83" s="20">
        <v>132</v>
      </c>
      <c r="B83" s="21" t="s">
        <v>102</v>
      </c>
      <c r="C83" s="21">
        <v>30</v>
      </c>
      <c r="D83" s="24">
        <v>-1</v>
      </c>
      <c r="E83" s="24">
        <f t="shared" si="4"/>
        <v>31</v>
      </c>
    </row>
    <row r="84" spans="1:5" x14ac:dyDescent="0.25">
      <c r="A84" s="20">
        <v>133</v>
      </c>
      <c r="B84" s="21" t="s">
        <v>104</v>
      </c>
      <c r="C84" s="21">
        <v>30</v>
      </c>
      <c r="D84" s="24">
        <v>1</v>
      </c>
      <c r="E84" s="24">
        <f t="shared" si="4"/>
        <v>29</v>
      </c>
    </row>
    <row r="85" spans="1:5" x14ac:dyDescent="0.25">
      <c r="A85" s="20">
        <v>134</v>
      </c>
      <c r="B85" s="21" t="s">
        <v>114</v>
      </c>
      <c r="C85" s="21">
        <v>100</v>
      </c>
      <c r="D85" s="24">
        <v>3</v>
      </c>
      <c r="E85" s="24">
        <f t="shared" si="4"/>
        <v>97</v>
      </c>
    </row>
    <row r="86" spans="1:5" x14ac:dyDescent="0.25">
      <c r="A86" s="20">
        <v>135</v>
      </c>
      <c r="B86" s="21" t="s">
        <v>116</v>
      </c>
      <c r="C86" s="21">
        <v>50</v>
      </c>
      <c r="D86" s="24">
        <v>1</v>
      </c>
      <c r="E86" s="24">
        <f t="shared" si="4"/>
        <v>49</v>
      </c>
    </row>
    <row r="87" spans="1:5" x14ac:dyDescent="0.25">
      <c r="A87" s="20">
        <v>136</v>
      </c>
      <c r="B87" s="21" t="s">
        <v>70</v>
      </c>
      <c r="C87" s="21">
        <v>150</v>
      </c>
      <c r="D87" s="24">
        <v>4</v>
      </c>
      <c r="E87" s="24">
        <f t="shared" si="4"/>
        <v>146</v>
      </c>
    </row>
    <row r="88" spans="1:5" x14ac:dyDescent="0.25">
      <c r="A88" s="20">
        <v>137</v>
      </c>
      <c r="B88" s="21" t="s">
        <v>74</v>
      </c>
      <c r="C88" s="21">
        <v>50</v>
      </c>
      <c r="D88" s="24">
        <v>-16</v>
      </c>
      <c r="E88" s="24">
        <f t="shared" si="4"/>
        <v>66</v>
      </c>
    </row>
    <row r="89" spans="1:5" x14ac:dyDescent="0.25">
      <c r="A89" s="20">
        <v>138</v>
      </c>
      <c r="B89" s="21" t="s">
        <v>76</v>
      </c>
      <c r="C89" s="21">
        <v>50</v>
      </c>
      <c r="D89" s="24"/>
      <c r="E89" s="24">
        <f t="shared" si="4"/>
        <v>50</v>
      </c>
    </row>
    <row r="90" spans="1:5" x14ac:dyDescent="0.25">
      <c r="A90" s="20">
        <v>137</v>
      </c>
      <c r="B90" s="21" t="s">
        <v>74</v>
      </c>
      <c r="C90" s="21">
        <v>50</v>
      </c>
      <c r="D90" s="24">
        <v>-16</v>
      </c>
      <c r="E90" s="24">
        <f t="shared" si="4"/>
        <v>66</v>
      </c>
    </row>
    <row r="91" spans="1:5" x14ac:dyDescent="0.25">
      <c r="A91" s="20">
        <v>138</v>
      </c>
      <c r="B91" s="21" t="s">
        <v>76</v>
      </c>
      <c r="C91" s="21">
        <v>50</v>
      </c>
      <c r="D91" s="24"/>
      <c r="E91" s="24">
        <f t="shared" si="4"/>
        <v>50</v>
      </c>
    </row>
  </sheetData>
  <mergeCells count="1">
    <mergeCell ref="A1:E1"/>
  </mergeCells>
  <pageMargins left="0.3" right="0.23" top="0.17" bottom="0.42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A273-35A8-49F6-ACED-4FAC4752698F}">
  <dimension ref="A1"/>
  <sheetViews>
    <sheetView workbookViewId="0">
      <selection activeCell="H10" sqref="H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PENDING ORDER</vt:lpstr>
      <vt:lpstr>Sheet5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2026-06-22T13:51:15Z</cp:lastPrinted>
  <dcterms:created xsi:type="dcterms:W3CDTF">2026-04-27T07:11:29Z</dcterms:created>
  <dcterms:modified xsi:type="dcterms:W3CDTF">2026-10-03T07:10:55Z</dcterms:modified>
</cp:coreProperties>
</file>